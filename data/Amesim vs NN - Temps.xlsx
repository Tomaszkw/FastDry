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omek\Downloads\Uni2\Tesi\Model\All variables\"/>
    </mc:Choice>
  </mc:AlternateContent>
  <xr:revisionPtr revIDLastSave="0" documentId="13_ncr:1_{5C6A210C-55FC-443F-907F-66649F218F61}" xr6:coauthVersionLast="47" xr6:coauthVersionMax="47" xr10:uidLastSave="{00000000-0000-0000-0000-000000000000}"/>
  <bookViews>
    <workbookView xWindow="510" yWindow="360" windowWidth="28290" windowHeight="1524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15" i="1"/>
  <c r="C16" i="1"/>
  <c r="C22" i="1" s="1"/>
  <c r="D16" i="1"/>
  <c r="D22" i="1" s="1"/>
  <c r="E16" i="1"/>
  <c r="E22" i="1" s="1"/>
  <c r="F16" i="1"/>
  <c r="F22" i="1" s="1"/>
  <c r="G16" i="1"/>
  <c r="G22" i="1" s="1"/>
  <c r="H16" i="1"/>
  <c r="H22" i="1" s="1"/>
  <c r="I16" i="1"/>
  <c r="I22" i="1" s="1"/>
  <c r="J16" i="1"/>
  <c r="J22" i="1" s="1"/>
  <c r="K16" i="1"/>
  <c r="K22" i="1" s="1"/>
  <c r="L16" i="1"/>
  <c r="L22" i="1" s="1"/>
  <c r="M16" i="1"/>
  <c r="M22" i="1" s="1"/>
  <c r="N16" i="1"/>
  <c r="N22" i="1" s="1"/>
  <c r="O16" i="1"/>
  <c r="O22" i="1" s="1"/>
  <c r="P16" i="1"/>
  <c r="P22" i="1" s="1"/>
  <c r="Q16" i="1"/>
  <c r="Q22" i="1" s="1"/>
  <c r="R16" i="1"/>
  <c r="R22" i="1" s="1"/>
  <c r="S16" i="1"/>
  <c r="S22" i="1" s="1"/>
  <c r="T16" i="1"/>
  <c r="T22" i="1" s="1"/>
  <c r="U16" i="1"/>
  <c r="U22" i="1" s="1"/>
  <c r="V16" i="1"/>
  <c r="V22" i="1" s="1"/>
  <c r="W16" i="1"/>
  <c r="W22" i="1" s="1"/>
  <c r="X16" i="1"/>
  <c r="X22" i="1" s="1"/>
  <c r="Y16" i="1"/>
  <c r="Y22" i="1" s="1"/>
  <c r="Z16" i="1"/>
  <c r="Z22" i="1" s="1"/>
  <c r="AA16" i="1"/>
  <c r="AA22" i="1" s="1"/>
  <c r="AB16" i="1"/>
  <c r="AB22" i="1" s="1"/>
  <c r="AC16" i="1"/>
  <c r="AC22" i="1" s="1"/>
  <c r="AD16" i="1"/>
  <c r="AD22" i="1" s="1"/>
  <c r="AE16" i="1"/>
  <c r="AE22" i="1" s="1"/>
  <c r="AF16" i="1"/>
  <c r="AF22" i="1" s="1"/>
  <c r="AG16" i="1"/>
  <c r="AG22" i="1" s="1"/>
  <c r="AH16" i="1"/>
  <c r="AH22" i="1" s="1"/>
  <c r="AI16" i="1"/>
  <c r="AI22" i="1" s="1"/>
  <c r="AJ16" i="1"/>
  <c r="AJ22" i="1" s="1"/>
  <c r="AK16" i="1"/>
  <c r="AK22" i="1" s="1"/>
  <c r="AL16" i="1"/>
  <c r="AL22" i="1" s="1"/>
  <c r="AM16" i="1"/>
  <c r="AM22" i="1" s="1"/>
  <c r="AN16" i="1"/>
  <c r="AN22" i="1" s="1"/>
  <c r="AO16" i="1"/>
  <c r="AO22" i="1" s="1"/>
  <c r="AP16" i="1"/>
  <c r="AP22" i="1" s="1"/>
  <c r="AQ16" i="1"/>
  <c r="AQ22" i="1" s="1"/>
  <c r="AR16" i="1"/>
  <c r="AR22" i="1" s="1"/>
  <c r="AS16" i="1"/>
  <c r="AS22" i="1" s="1"/>
  <c r="AT16" i="1"/>
  <c r="AT22" i="1" s="1"/>
  <c r="AU16" i="1"/>
  <c r="AU22" i="1" s="1"/>
  <c r="AV16" i="1"/>
  <c r="AV22" i="1" s="1"/>
  <c r="AW16" i="1"/>
  <c r="AW22" i="1" s="1"/>
  <c r="AX16" i="1"/>
  <c r="AX22" i="1" s="1"/>
  <c r="AY16" i="1"/>
  <c r="AY22" i="1" s="1"/>
  <c r="AZ16" i="1"/>
  <c r="AZ22" i="1" s="1"/>
  <c r="BA16" i="1"/>
  <c r="BA22" i="1" s="1"/>
  <c r="BB16" i="1"/>
  <c r="BB22" i="1" s="1"/>
  <c r="BC16" i="1"/>
  <c r="BC22" i="1" s="1"/>
  <c r="BD16" i="1"/>
  <c r="BD22" i="1" s="1"/>
  <c r="BE16" i="1"/>
  <c r="BE22" i="1" s="1"/>
  <c r="BF16" i="1"/>
  <c r="BF22" i="1" s="1"/>
  <c r="BG16" i="1"/>
  <c r="BG22" i="1" s="1"/>
  <c r="BH16" i="1"/>
  <c r="BH22" i="1" s="1"/>
  <c r="BI16" i="1"/>
  <c r="BI22" i="1" s="1"/>
  <c r="BJ16" i="1"/>
  <c r="BJ22" i="1" s="1"/>
  <c r="BK16" i="1"/>
  <c r="BK22" i="1" s="1"/>
  <c r="BL16" i="1"/>
  <c r="BL22" i="1" s="1"/>
  <c r="BM16" i="1"/>
  <c r="BM22" i="1" s="1"/>
  <c r="BN16" i="1"/>
  <c r="BN22" i="1" s="1"/>
  <c r="BO16" i="1"/>
  <c r="BO22" i="1" s="1"/>
  <c r="BP16" i="1"/>
  <c r="BP22" i="1" s="1"/>
  <c r="BQ16" i="1"/>
  <c r="BQ22" i="1" s="1"/>
  <c r="BR16" i="1"/>
  <c r="BR22" i="1" s="1"/>
  <c r="BS16" i="1"/>
  <c r="BS22" i="1" s="1"/>
  <c r="BT16" i="1"/>
  <c r="BT22" i="1" s="1"/>
  <c r="BU16" i="1"/>
  <c r="BU22" i="1" s="1"/>
  <c r="BV16" i="1"/>
  <c r="BV22" i="1" s="1"/>
  <c r="BW16" i="1"/>
  <c r="BW22" i="1" s="1"/>
  <c r="BX16" i="1"/>
  <c r="BX22" i="1" s="1"/>
  <c r="BY16" i="1"/>
  <c r="BY22" i="1" s="1"/>
  <c r="BZ16" i="1"/>
  <c r="BZ22" i="1" s="1"/>
  <c r="CA16" i="1"/>
  <c r="CA22" i="1" s="1"/>
  <c r="CB16" i="1"/>
  <c r="CB22" i="1" s="1"/>
  <c r="CC16" i="1"/>
  <c r="CC22" i="1" s="1"/>
  <c r="CD16" i="1"/>
  <c r="CD22" i="1" s="1"/>
  <c r="CE16" i="1"/>
  <c r="CE22" i="1" s="1"/>
  <c r="CF16" i="1"/>
  <c r="CF22" i="1" s="1"/>
  <c r="CG16" i="1"/>
  <c r="CG22" i="1" s="1"/>
  <c r="CH16" i="1"/>
  <c r="CH22" i="1" s="1"/>
  <c r="CI16" i="1"/>
  <c r="CI22" i="1" s="1"/>
  <c r="CJ16" i="1"/>
  <c r="CJ22" i="1" s="1"/>
  <c r="CK16" i="1"/>
  <c r="CK22" i="1" s="1"/>
  <c r="CL16" i="1"/>
  <c r="CL22" i="1" s="1"/>
  <c r="CM16" i="1"/>
  <c r="CM22" i="1" s="1"/>
  <c r="CN16" i="1"/>
  <c r="CN22" i="1" s="1"/>
  <c r="CO16" i="1"/>
  <c r="CO22" i="1" s="1"/>
  <c r="CP16" i="1"/>
  <c r="CP22" i="1" s="1"/>
  <c r="C17" i="1"/>
  <c r="C23" i="1" s="1"/>
  <c r="D17" i="1"/>
  <c r="D23" i="1" s="1"/>
  <c r="E17" i="1"/>
  <c r="E23" i="1" s="1"/>
  <c r="F17" i="1"/>
  <c r="F23" i="1" s="1"/>
  <c r="G17" i="1"/>
  <c r="G23" i="1" s="1"/>
  <c r="H17" i="1"/>
  <c r="H23" i="1" s="1"/>
  <c r="I17" i="1"/>
  <c r="I23" i="1" s="1"/>
  <c r="J17" i="1"/>
  <c r="J23" i="1" s="1"/>
  <c r="K17" i="1"/>
  <c r="K23" i="1" s="1"/>
  <c r="L17" i="1"/>
  <c r="L23" i="1" s="1"/>
  <c r="M17" i="1"/>
  <c r="M23" i="1" s="1"/>
  <c r="N17" i="1"/>
  <c r="N23" i="1" s="1"/>
  <c r="O17" i="1"/>
  <c r="O23" i="1" s="1"/>
  <c r="P17" i="1"/>
  <c r="P23" i="1" s="1"/>
  <c r="Q17" i="1"/>
  <c r="Q23" i="1" s="1"/>
  <c r="R17" i="1"/>
  <c r="R23" i="1" s="1"/>
  <c r="S17" i="1"/>
  <c r="S23" i="1" s="1"/>
  <c r="T17" i="1"/>
  <c r="T23" i="1" s="1"/>
  <c r="U17" i="1"/>
  <c r="U23" i="1" s="1"/>
  <c r="V17" i="1"/>
  <c r="V23" i="1" s="1"/>
  <c r="W17" i="1"/>
  <c r="W23" i="1" s="1"/>
  <c r="X17" i="1"/>
  <c r="X23" i="1" s="1"/>
  <c r="Y17" i="1"/>
  <c r="Y23" i="1" s="1"/>
  <c r="Z17" i="1"/>
  <c r="Z23" i="1" s="1"/>
  <c r="AA17" i="1"/>
  <c r="AA23" i="1" s="1"/>
  <c r="AB17" i="1"/>
  <c r="AB23" i="1" s="1"/>
  <c r="AC17" i="1"/>
  <c r="AC23" i="1" s="1"/>
  <c r="AD17" i="1"/>
  <c r="AD23" i="1" s="1"/>
  <c r="AE17" i="1"/>
  <c r="AE23" i="1" s="1"/>
  <c r="AF17" i="1"/>
  <c r="AF23" i="1" s="1"/>
  <c r="AG17" i="1"/>
  <c r="AG23" i="1" s="1"/>
  <c r="AH17" i="1"/>
  <c r="AH23" i="1" s="1"/>
  <c r="AI17" i="1"/>
  <c r="AI23" i="1" s="1"/>
  <c r="AJ17" i="1"/>
  <c r="AJ23" i="1" s="1"/>
  <c r="AK17" i="1"/>
  <c r="AK23" i="1" s="1"/>
  <c r="AL17" i="1"/>
  <c r="AL23" i="1" s="1"/>
  <c r="AM17" i="1"/>
  <c r="AM23" i="1" s="1"/>
  <c r="AN17" i="1"/>
  <c r="AN23" i="1" s="1"/>
  <c r="AO17" i="1"/>
  <c r="AO23" i="1" s="1"/>
  <c r="AP17" i="1"/>
  <c r="AP23" i="1" s="1"/>
  <c r="AQ17" i="1"/>
  <c r="AQ23" i="1" s="1"/>
  <c r="AR17" i="1"/>
  <c r="AR23" i="1" s="1"/>
  <c r="AS17" i="1"/>
  <c r="AS23" i="1" s="1"/>
  <c r="AT17" i="1"/>
  <c r="AT23" i="1" s="1"/>
  <c r="AU17" i="1"/>
  <c r="AU23" i="1" s="1"/>
  <c r="AV17" i="1"/>
  <c r="AV23" i="1" s="1"/>
  <c r="AW17" i="1"/>
  <c r="AW23" i="1" s="1"/>
  <c r="AX17" i="1"/>
  <c r="AX23" i="1" s="1"/>
  <c r="AY17" i="1"/>
  <c r="AY23" i="1" s="1"/>
  <c r="AZ17" i="1"/>
  <c r="AZ23" i="1" s="1"/>
  <c r="BA17" i="1"/>
  <c r="BA23" i="1" s="1"/>
  <c r="BB17" i="1"/>
  <c r="BB23" i="1" s="1"/>
  <c r="BC17" i="1"/>
  <c r="BC23" i="1" s="1"/>
  <c r="BD17" i="1"/>
  <c r="BD23" i="1" s="1"/>
  <c r="BE17" i="1"/>
  <c r="BE23" i="1" s="1"/>
  <c r="BF17" i="1"/>
  <c r="BF23" i="1" s="1"/>
  <c r="BG17" i="1"/>
  <c r="BG23" i="1" s="1"/>
  <c r="BH17" i="1"/>
  <c r="BH23" i="1" s="1"/>
  <c r="BI17" i="1"/>
  <c r="BI23" i="1" s="1"/>
  <c r="BJ17" i="1"/>
  <c r="BJ23" i="1" s="1"/>
  <c r="BK17" i="1"/>
  <c r="BK23" i="1" s="1"/>
  <c r="BL17" i="1"/>
  <c r="BL23" i="1" s="1"/>
  <c r="BM17" i="1"/>
  <c r="BM23" i="1" s="1"/>
  <c r="BN17" i="1"/>
  <c r="BN23" i="1" s="1"/>
  <c r="BO17" i="1"/>
  <c r="BO23" i="1" s="1"/>
  <c r="BP17" i="1"/>
  <c r="BP23" i="1" s="1"/>
  <c r="BQ17" i="1"/>
  <c r="BQ23" i="1" s="1"/>
  <c r="BR17" i="1"/>
  <c r="BR23" i="1" s="1"/>
  <c r="BS17" i="1"/>
  <c r="BS23" i="1" s="1"/>
  <c r="BT17" i="1"/>
  <c r="BT23" i="1" s="1"/>
  <c r="BU17" i="1"/>
  <c r="BU23" i="1" s="1"/>
  <c r="BV17" i="1"/>
  <c r="BV23" i="1" s="1"/>
  <c r="BW17" i="1"/>
  <c r="BW23" i="1" s="1"/>
  <c r="BX17" i="1"/>
  <c r="BX23" i="1" s="1"/>
  <c r="BY17" i="1"/>
  <c r="BY23" i="1" s="1"/>
  <c r="BZ17" i="1"/>
  <c r="BZ23" i="1" s="1"/>
  <c r="CA17" i="1"/>
  <c r="CA23" i="1" s="1"/>
  <c r="CB17" i="1"/>
  <c r="CB23" i="1" s="1"/>
  <c r="CC17" i="1"/>
  <c r="CC23" i="1" s="1"/>
  <c r="CD17" i="1"/>
  <c r="CD23" i="1" s="1"/>
  <c r="CE17" i="1"/>
  <c r="CE23" i="1" s="1"/>
  <c r="CF17" i="1"/>
  <c r="CF23" i="1" s="1"/>
  <c r="CG17" i="1"/>
  <c r="CG23" i="1" s="1"/>
  <c r="CH17" i="1"/>
  <c r="CH23" i="1" s="1"/>
  <c r="CI17" i="1"/>
  <c r="CI23" i="1" s="1"/>
  <c r="CJ17" i="1"/>
  <c r="CJ23" i="1" s="1"/>
  <c r="CK17" i="1"/>
  <c r="CK23" i="1" s="1"/>
  <c r="CL17" i="1"/>
  <c r="CL23" i="1" s="1"/>
  <c r="CM17" i="1"/>
  <c r="CM23" i="1" s="1"/>
  <c r="CN17" i="1"/>
  <c r="CN23" i="1" s="1"/>
  <c r="CO17" i="1"/>
  <c r="CO23" i="1" s="1"/>
  <c r="CP17" i="1"/>
  <c r="CP23" i="1" s="1"/>
  <c r="C18" i="1"/>
  <c r="C24" i="1" s="1"/>
  <c r="D18" i="1"/>
  <c r="D24" i="1" s="1"/>
  <c r="E18" i="1"/>
  <c r="E24" i="1" s="1"/>
  <c r="F18" i="1"/>
  <c r="F24" i="1" s="1"/>
  <c r="G18" i="1"/>
  <c r="G24" i="1" s="1"/>
  <c r="H18" i="1"/>
  <c r="H24" i="1" s="1"/>
  <c r="I18" i="1"/>
  <c r="I24" i="1" s="1"/>
  <c r="J18" i="1"/>
  <c r="J24" i="1" s="1"/>
  <c r="K18" i="1"/>
  <c r="K24" i="1" s="1"/>
  <c r="L18" i="1"/>
  <c r="L24" i="1" s="1"/>
  <c r="M18" i="1"/>
  <c r="M24" i="1" s="1"/>
  <c r="N18" i="1"/>
  <c r="N24" i="1" s="1"/>
  <c r="O18" i="1"/>
  <c r="O24" i="1" s="1"/>
  <c r="P18" i="1"/>
  <c r="P24" i="1" s="1"/>
  <c r="Q18" i="1"/>
  <c r="Q24" i="1" s="1"/>
  <c r="R18" i="1"/>
  <c r="R24" i="1" s="1"/>
  <c r="S18" i="1"/>
  <c r="S24" i="1" s="1"/>
  <c r="T18" i="1"/>
  <c r="T24" i="1" s="1"/>
  <c r="U18" i="1"/>
  <c r="U24" i="1" s="1"/>
  <c r="V18" i="1"/>
  <c r="V24" i="1" s="1"/>
  <c r="W18" i="1"/>
  <c r="W24" i="1" s="1"/>
  <c r="X18" i="1"/>
  <c r="X24" i="1" s="1"/>
  <c r="Y18" i="1"/>
  <c r="Y24" i="1" s="1"/>
  <c r="Z18" i="1"/>
  <c r="Z24" i="1" s="1"/>
  <c r="AA18" i="1"/>
  <c r="AA24" i="1" s="1"/>
  <c r="AB18" i="1"/>
  <c r="AB24" i="1" s="1"/>
  <c r="AC18" i="1"/>
  <c r="AC24" i="1" s="1"/>
  <c r="AD18" i="1"/>
  <c r="AD24" i="1" s="1"/>
  <c r="AE18" i="1"/>
  <c r="AE24" i="1" s="1"/>
  <c r="AF18" i="1"/>
  <c r="AF24" i="1" s="1"/>
  <c r="AG18" i="1"/>
  <c r="AG24" i="1" s="1"/>
  <c r="AH18" i="1"/>
  <c r="AH24" i="1" s="1"/>
  <c r="AI18" i="1"/>
  <c r="AI24" i="1" s="1"/>
  <c r="AJ18" i="1"/>
  <c r="AJ24" i="1" s="1"/>
  <c r="AK18" i="1"/>
  <c r="AK24" i="1" s="1"/>
  <c r="AL18" i="1"/>
  <c r="AL24" i="1" s="1"/>
  <c r="AM18" i="1"/>
  <c r="AM24" i="1" s="1"/>
  <c r="AN18" i="1"/>
  <c r="AN24" i="1" s="1"/>
  <c r="AO18" i="1"/>
  <c r="AO24" i="1" s="1"/>
  <c r="AP18" i="1"/>
  <c r="AP24" i="1" s="1"/>
  <c r="AQ18" i="1"/>
  <c r="AQ24" i="1" s="1"/>
  <c r="AR18" i="1"/>
  <c r="AR24" i="1" s="1"/>
  <c r="AS18" i="1"/>
  <c r="AS24" i="1" s="1"/>
  <c r="AT18" i="1"/>
  <c r="AT24" i="1" s="1"/>
  <c r="AU18" i="1"/>
  <c r="AU24" i="1" s="1"/>
  <c r="AV18" i="1"/>
  <c r="AV24" i="1" s="1"/>
  <c r="AW18" i="1"/>
  <c r="AW24" i="1" s="1"/>
  <c r="AX18" i="1"/>
  <c r="AX24" i="1" s="1"/>
  <c r="AY18" i="1"/>
  <c r="AY24" i="1" s="1"/>
  <c r="AZ18" i="1"/>
  <c r="AZ24" i="1" s="1"/>
  <c r="BA18" i="1"/>
  <c r="BA24" i="1" s="1"/>
  <c r="BB18" i="1"/>
  <c r="BB24" i="1" s="1"/>
  <c r="BC18" i="1"/>
  <c r="BC24" i="1" s="1"/>
  <c r="BD18" i="1"/>
  <c r="BD24" i="1" s="1"/>
  <c r="BE18" i="1"/>
  <c r="BE24" i="1" s="1"/>
  <c r="BF18" i="1"/>
  <c r="BF24" i="1" s="1"/>
  <c r="BG18" i="1"/>
  <c r="BG24" i="1" s="1"/>
  <c r="BH18" i="1"/>
  <c r="BH24" i="1" s="1"/>
  <c r="BI18" i="1"/>
  <c r="BI24" i="1" s="1"/>
  <c r="BJ18" i="1"/>
  <c r="BJ24" i="1" s="1"/>
  <c r="BK18" i="1"/>
  <c r="BK24" i="1" s="1"/>
  <c r="BL18" i="1"/>
  <c r="BL24" i="1" s="1"/>
  <c r="BM18" i="1"/>
  <c r="BM24" i="1" s="1"/>
  <c r="BN18" i="1"/>
  <c r="BN24" i="1" s="1"/>
  <c r="BO18" i="1"/>
  <c r="BO24" i="1" s="1"/>
  <c r="BP18" i="1"/>
  <c r="BP24" i="1" s="1"/>
  <c r="BQ18" i="1"/>
  <c r="BQ24" i="1" s="1"/>
  <c r="BR18" i="1"/>
  <c r="BR24" i="1" s="1"/>
  <c r="BS18" i="1"/>
  <c r="BS24" i="1" s="1"/>
  <c r="BT18" i="1"/>
  <c r="BT24" i="1" s="1"/>
  <c r="BU18" i="1"/>
  <c r="BU24" i="1" s="1"/>
  <c r="BV18" i="1"/>
  <c r="BV24" i="1" s="1"/>
  <c r="BW18" i="1"/>
  <c r="BW24" i="1" s="1"/>
  <c r="BX18" i="1"/>
  <c r="BX24" i="1" s="1"/>
  <c r="BY18" i="1"/>
  <c r="BY24" i="1" s="1"/>
  <c r="BZ18" i="1"/>
  <c r="BZ24" i="1" s="1"/>
  <c r="CA18" i="1"/>
  <c r="CA24" i="1" s="1"/>
  <c r="CB18" i="1"/>
  <c r="CB24" i="1" s="1"/>
  <c r="CC18" i="1"/>
  <c r="CC24" i="1" s="1"/>
  <c r="CD18" i="1"/>
  <c r="CD24" i="1" s="1"/>
  <c r="CE18" i="1"/>
  <c r="CE24" i="1" s="1"/>
  <c r="CF18" i="1"/>
  <c r="CF24" i="1" s="1"/>
  <c r="CG18" i="1"/>
  <c r="CG24" i="1" s="1"/>
  <c r="CH18" i="1"/>
  <c r="CH24" i="1" s="1"/>
  <c r="CI18" i="1"/>
  <c r="CI24" i="1" s="1"/>
  <c r="CJ18" i="1"/>
  <c r="CJ24" i="1" s="1"/>
  <c r="CK18" i="1"/>
  <c r="CK24" i="1" s="1"/>
  <c r="CL18" i="1"/>
  <c r="CL24" i="1" s="1"/>
  <c r="CM18" i="1"/>
  <c r="CM24" i="1" s="1"/>
  <c r="CN18" i="1"/>
  <c r="CN24" i="1" s="1"/>
  <c r="CO18" i="1"/>
  <c r="CO24" i="1" s="1"/>
  <c r="CP18" i="1"/>
  <c r="CP24" i="1" s="1"/>
  <c r="C19" i="1"/>
  <c r="C25" i="1" s="1"/>
  <c r="D19" i="1"/>
  <c r="D25" i="1" s="1"/>
  <c r="E19" i="1"/>
  <c r="E25" i="1" s="1"/>
  <c r="F19" i="1"/>
  <c r="F25" i="1" s="1"/>
  <c r="G19" i="1"/>
  <c r="G25" i="1" s="1"/>
  <c r="H19" i="1"/>
  <c r="H25" i="1" s="1"/>
  <c r="I19" i="1"/>
  <c r="I25" i="1" s="1"/>
  <c r="J19" i="1"/>
  <c r="J25" i="1" s="1"/>
  <c r="K19" i="1"/>
  <c r="K25" i="1" s="1"/>
  <c r="L19" i="1"/>
  <c r="L25" i="1" s="1"/>
  <c r="M19" i="1"/>
  <c r="M25" i="1" s="1"/>
  <c r="N19" i="1"/>
  <c r="N25" i="1" s="1"/>
  <c r="O19" i="1"/>
  <c r="O25" i="1" s="1"/>
  <c r="P19" i="1"/>
  <c r="P25" i="1" s="1"/>
  <c r="Q19" i="1"/>
  <c r="Q25" i="1" s="1"/>
  <c r="R19" i="1"/>
  <c r="R25" i="1" s="1"/>
  <c r="S19" i="1"/>
  <c r="S25" i="1" s="1"/>
  <c r="T19" i="1"/>
  <c r="T25" i="1" s="1"/>
  <c r="U19" i="1"/>
  <c r="U25" i="1" s="1"/>
  <c r="V19" i="1"/>
  <c r="V25" i="1" s="1"/>
  <c r="W19" i="1"/>
  <c r="W25" i="1" s="1"/>
  <c r="X19" i="1"/>
  <c r="X25" i="1" s="1"/>
  <c r="Y19" i="1"/>
  <c r="Y25" i="1" s="1"/>
  <c r="Z19" i="1"/>
  <c r="Z25" i="1" s="1"/>
  <c r="AA19" i="1"/>
  <c r="AA25" i="1" s="1"/>
  <c r="AB19" i="1"/>
  <c r="AB25" i="1" s="1"/>
  <c r="AC19" i="1"/>
  <c r="AC25" i="1" s="1"/>
  <c r="AD19" i="1"/>
  <c r="AD25" i="1" s="1"/>
  <c r="AE19" i="1"/>
  <c r="AE25" i="1" s="1"/>
  <c r="AF19" i="1"/>
  <c r="AF25" i="1" s="1"/>
  <c r="AG19" i="1"/>
  <c r="AG25" i="1" s="1"/>
  <c r="AH19" i="1"/>
  <c r="AH25" i="1" s="1"/>
  <c r="AI19" i="1"/>
  <c r="AI25" i="1" s="1"/>
  <c r="AJ19" i="1"/>
  <c r="AJ25" i="1" s="1"/>
  <c r="AK19" i="1"/>
  <c r="AK25" i="1" s="1"/>
  <c r="AL19" i="1"/>
  <c r="AL25" i="1" s="1"/>
  <c r="AM19" i="1"/>
  <c r="AM25" i="1" s="1"/>
  <c r="AN19" i="1"/>
  <c r="AN25" i="1" s="1"/>
  <c r="AO19" i="1"/>
  <c r="AO25" i="1" s="1"/>
  <c r="AP19" i="1"/>
  <c r="AP25" i="1" s="1"/>
  <c r="AQ19" i="1"/>
  <c r="AQ25" i="1" s="1"/>
  <c r="AR19" i="1"/>
  <c r="AR25" i="1" s="1"/>
  <c r="AS19" i="1"/>
  <c r="AS25" i="1" s="1"/>
  <c r="AT19" i="1"/>
  <c r="AT25" i="1" s="1"/>
  <c r="AU19" i="1"/>
  <c r="AU25" i="1" s="1"/>
  <c r="AV19" i="1"/>
  <c r="AV25" i="1" s="1"/>
  <c r="AW19" i="1"/>
  <c r="AW25" i="1" s="1"/>
  <c r="AX19" i="1"/>
  <c r="AX25" i="1" s="1"/>
  <c r="AY19" i="1"/>
  <c r="AY25" i="1" s="1"/>
  <c r="AZ19" i="1"/>
  <c r="AZ25" i="1" s="1"/>
  <c r="BA19" i="1"/>
  <c r="BA25" i="1" s="1"/>
  <c r="BB19" i="1"/>
  <c r="BB25" i="1" s="1"/>
  <c r="BC19" i="1"/>
  <c r="BC25" i="1" s="1"/>
  <c r="BD19" i="1"/>
  <c r="BD25" i="1" s="1"/>
  <c r="BE19" i="1"/>
  <c r="BE25" i="1" s="1"/>
  <c r="BF19" i="1"/>
  <c r="BF25" i="1" s="1"/>
  <c r="BG19" i="1"/>
  <c r="BG25" i="1" s="1"/>
  <c r="BH19" i="1"/>
  <c r="BH25" i="1" s="1"/>
  <c r="BI19" i="1"/>
  <c r="BI25" i="1" s="1"/>
  <c r="BJ19" i="1"/>
  <c r="BJ25" i="1" s="1"/>
  <c r="BK19" i="1"/>
  <c r="BK25" i="1" s="1"/>
  <c r="BL19" i="1"/>
  <c r="BL25" i="1" s="1"/>
  <c r="BM19" i="1"/>
  <c r="BM25" i="1" s="1"/>
  <c r="BN19" i="1"/>
  <c r="BN25" i="1" s="1"/>
  <c r="BO19" i="1"/>
  <c r="BO25" i="1" s="1"/>
  <c r="BP19" i="1"/>
  <c r="BP25" i="1" s="1"/>
  <c r="BQ19" i="1"/>
  <c r="BQ25" i="1" s="1"/>
  <c r="BR19" i="1"/>
  <c r="BR25" i="1" s="1"/>
  <c r="BS19" i="1"/>
  <c r="BS25" i="1" s="1"/>
  <c r="BT19" i="1"/>
  <c r="BT25" i="1" s="1"/>
  <c r="BU19" i="1"/>
  <c r="BU25" i="1" s="1"/>
  <c r="BV19" i="1"/>
  <c r="BV25" i="1" s="1"/>
  <c r="BW19" i="1"/>
  <c r="BW25" i="1" s="1"/>
  <c r="BX19" i="1"/>
  <c r="BX25" i="1" s="1"/>
  <c r="BY19" i="1"/>
  <c r="BY25" i="1" s="1"/>
  <c r="BZ19" i="1"/>
  <c r="BZ25" i="1" s="1"/>
  <c r="CA19" i="1"/>
  <c r="CA25" i="1" s="1"/>
  <c r="CB19" i="1"/>
  <c r="CB25" i="1" s="1"/>
  <c r="CC19" i="1"/>
  <c r="CC25" i="1" s="1"/>
  <c r="CD19" i="1"/>
  <c r="CD25" i="1" s="1"/>
  <c r="CE19" i="1"/>
  <c r="CE25" i="1" s="1"/>
  <c r="CF19" i="1"/>
  <c r="CF25" i="1" s="1"/>
  <c r="CG19" i="1"/>
  <c r="CG25" i="1" s="1"/>
  <c r="CH19" i="1"/>
  <c r="CH25" i="1" s="1"/>
  <c r="CI19" i="1"/>
  <c r="CI25" i="1" s="1"/>
  <c r="CJ19" i="1"/>
  <c r="CJ25" i="1" s="1"/>
  <c r="CK19" i="1"/>
  <c r="CK25" i="1" s="1"/>
  <c r="CL19" i="1"/>
  <c r="CL25" i="1" s="1"/>
  <c r="CM19" i="1"/>
  <c r="CM25" i="1" s="1"/>
  <c r="CN19" i="1"/>
  <c r="CN25" i="1" s="1"/>
  <c r="CO19" i="1"/>
  <c r="CO25" i="1" s="1"/>
  <c r="CP19" i="1"/>
  <c r="CP25" i="1" s="1"/>
  <c r="D15" i="1"/>
  <c r="D21" i="1" s="1"/>
  <c r="E15" i="1"/>
  <c r="E21" i="1" s="1"/>
  <c r="F15" i="1"/>
  <c r="F21" i="1" s="1"/>
  <c r="G15" i="1"/>
  <c r="G21" i="1" s="1"/>
  <c r="H15" i="1"/>
  <c r="H21" i="1" s="1"/>
  <c r="I15" i="1"/>
  <c r="I21" i="1" s="1"/>
  <c r="J15" i="1"/>
  <c r="J21" i="1" s="1"/>
  <c r="K15" i="1"/>
  <c r="K21" i="1" s="1"/>
  <c r="L15" i="1"/>
  <c r="L21" i="1" s="1"/>
  <c r="M15" i="1"/>
  <c r="M21" i="1" s="1"/>
  <c r="N15" i="1"/>
  <c r="N21" i="1" s="1"/>
  <c r="O15" i="1"/>
  <c r="O21" i="1" s="1"/>
  <c r="C28" i="1" s="1" a="1"/>
  <c r="C28" i="1" s="1"/>
  <c r="P15" i="1"/>
  <c r="P21" i="1" s="1"/>
  <c r="Q15" i="1"/>
  <c r="Q21" i="1" s="1"/>
  <c r="R15" i="1"/>
  <c r="R21" i="1" s="1"/>
  <c r="S15" i="1"/>
  <c r="S21" i="1" s="1"/>
  <c r="T15" i="1"/>
  <c r="T21" i="1" s="1"/>
  <c r="U15" i="1"/>
  <c r="U21" i="1" s="1"/>
  <c r="V15" i="1"/>
  <c r="V21" i="1" s="1"/>
  <c r="W15" i="1"/>
  <c r="W21" i="1" s="1"/>
  <c r="X15" i="1"/>
  <c r="X21" i="1" s="1"/>
  <c r="Y15" i="1"/>
  <c r="Y21" i="1" s="1"/>
  <c r="Z15" i="1"/>
  <c r="Z21" i="1" s="1"/>
  <c r="AA15" i="1"/>
  <c r="AA21" i="1" s="1"/>
  <c r="AB15" i="1"/>
  <c r="AB21" i="1" s="1"/>
  <c r="AC15" i="1"/>
  <c r="AC21" i="1" s="1"/>
  <c r="AD15" i="1"/>
  <c r="AD21" i="1" s="1"/>
  <c r="AE15" i="1"/>
  <c r="AE21" i="1" s="1"/>
  <c r="AF15" i="1"/>
  <c r="AF21" i="1" s="1"/>
  <c r="AG15" i="1"/>
  <c r="AG21" i="1" s="1"/>
  <c r="AH15" i="1"/>
  <c r="AH21" i="1" s="1"/>
  <c r="AI15" i="1"/>
  <c r="AI21" i="1" s="1"/>
  <c r="AJ15" i="1"/>
  <c r="AJ21" i="1" s="1"/>
  <c r="AK15" i="1"/>
  <c r="AK21" i="1" s="1"/>
  <c r="AL15" i="1"/>
  <c r="AL21" i="1" s="1"/>
  <c r="AM15" i="1"/>
  <c r="AM21" i="1" s="1"/>
  <c r="AN15" i="1"/>
  <c r="AN21" i="1" s="1"/>
  <c r="AO15" i="1"/>
  <c r="AO21" i="1" s="1"/>
  <c r="AP15" i="1"/>
  <c r="AP21" i="1" s="1"/>
  <c r="AQ15" i="1"/>
  <c r="AQ21" i="1" s="1"/>
  <c r="AR15" i="1"/>
  <c r="AR21" i="1" s="1"/>
  <c r="AS15" i="1"/>
  <c r="AS21" i="1" s="1"/>
  <c r="AT15" i="1"/>
  <c r="AT21" i="1" s="1"/>
  <c r="AU15" i="1"/>
  <c r="AU21" i="1" s="1"/>
  <c r="AV15" i="1"/>
  <c r="AV21" i="1" s="1"/>
  <c r="AW15" i="1"/>
  <c r="AW21" i="1" s="1"/>
  <c r="AX15" i="1"/>
  <c r="AX21" i="1" s="1"/>
  <c r="AY15" i="1"/>
  <c r="AY21" i="1" s="1"/>
  <c r="AZ15" i="1"/>
  <c r="AZ21" i="1" s="1"/>
  <c r="BA15" i="1"/>
  <c r="BA21" i="1" s="1"/>
  <c r="BB15" i="1"/>
  <c r="BB21" i="1" s="1"/>
  <c r="BC15" i="1"/>
  <c r="BC21" i="1" s="1"/>
  <c r="BD15" i="1"/>
  <c r="BD21" i="1" s="1"/>
  <c r="BE15" i="1"/>
  <c r="BE21" i="1" s="1"/>
  <c r="BF15" i="1"/>
  <c r="BF21" i="1" s="1"/>
  <c r="BG15" i="1"/>
  <c r="BG21" i="1" s="1"/>
  <c r="BH15" i="1"/>
  <c r="BH21" i="1" s="1"/>
  <c r="BI15" i="1"/>
  <c r="BI21" i="1" s="1"/>
  <c r="BJ15" i="1"/>
  <c r="BJ21" i="1" s="1"/>
  <c r="BK15" i="1"/>
  <c r="BK21" i="1" s="1"/>
  <c r="BL15" i="1"/>
  <c r="BL21" i="1" s="1"/>
  <c r="BM15" i="1"/>
  <c r="BM21" i="1" s="1"/>
  <c r="BN15" i="1"/>
  <c r="BN21" i="1" s="1"/>
  <c r="BO15" i="1"/>
  <c r="BO21" i="1" s="1"/>
  <c r="BP15" i="1"/>
  <c r="BP21" i="1" s="1"/>
  <c r="BQ15" i="1"/>
  <c r="BQ21" i="1" s="1"/>
  <c r="BR15" i="1"/>
  <c r="BR21" i="1" s="1"/>
  <c r="BS15" i="1"/>
  <c r="BS21" i="1" s="1"/>
  <c r="BT15" i="1"/>
  <c r="BT21" i="1" s="1"/>
  <c r="BU15" i="1"/>
  <c r="BU21" i="1" s="1"/>
  <c r="BV15" i="1"/>
  <c r="BV21" i="1" s="1"/>
  <c r="BW15" i="1"/>
  <c r="BW21" i="1" s="1"/>
  <c r="BX15" i="1"/>
  <c r="BX21" i="1" s="1"/>
  <c r="BY15" i="1"/>
  <c r="BY21" i="1" s="1"/>
  <c r="BZ15" i="1"/>
  <c r="BZ21" i="1" s="1"/>
  <c r="CA15" i="1"/>
  <c r="CA21" i="1" s="1"/>
  <c r="CB15" i="1"/>
  <c r="CB21" i="1" s="1"/>
  <c r="CC15" i="1"/>
  <c r="CC21" i="1" s="1"/>
  <c r="CD15" i="1"/>
  <c r="CD21" i="1" s="1"/>
  <c r="CE15" i="1"/>
  <c r="CE21" i="1" s="1"/>
  <c r="CF15" i="1"/>
  <c r="CF21" i="1" s="1"/>
  <c r="CG15" i="1"/>
  <c r="CG21" i="1" s="1"/>
  <c r="CH15" i="1"/>
  <c r="CH21" i="1" s="1"/>
  <c r="CI15" i="1"/>
  <c r="CI21" i="1" s="1"/>
  <c r="CJ15" i="1"/>
  <c r="CJ21" i="1" s="1"/>
  <c r="CK15" i="1"/>
  <c r="CK21" i="1" s="1"/>
  <c r="CL15" i="1"/>
  <c r="CL21" i="1" s="1"/>
  <c r="CM15" i="1"/>
  <c r="CM21" i="1" s="1"/>
  <c r="CN15" i="1"/>
  <c r="CN21" i="1" s="1"/>
  <c r="CO15" i="1"/>
  <c r="CO21" i="1" s="1"/>
  <c r="CP15" i="1"/>
  <c r="CP21" i="1" s="1"/>
  <c r="C21" i="1"/>
  <c r="C27" i="1" s="1" a="1"/>
  <c r="C27" i="1" s="1"/>
  <c r="F27" i="1" l="1" a="1"/>
  <c r="F27" i="1" s="1"/>
  <c r="F28" i="1" a="1"/>
  <c r="F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<sst xmlns="http://schemas.openxmlformats.org/spreadsheetml/2006/main" count="194" uniqueCount="194">
  <si>
    <t>time [s]</t>
  </si>
  <si>
    <t>FXY0_37 input x</t>
  </si>
  <si>
    <t>FXY0_38 input x</t>
  </si>
  <si>
    <t>FXY0_39 input x</t>
  </si>
  <si>
    <t>FXY0_36 input x</t>
  </si>
  <si>
    <t>FXY0_32 input x</t>
  </si>
  <si>
    <t>FXY0_28 input x</t>
  </si>
  <si>
    <t>FXY0_24 input x</t>
  </si>
  <si>
    <t>FXY0_20 input x</t>
  </si>
  <si>
    <t>FXY0_16 input x</t>
  </si>
  <si>
    <t>FXY0_12 input x</t>
  </si>
  <si>
    <t>FXY0_8 input x</t>
  </si>
  <si>
    <t>FXY0_4 input x</t>
  </si>
  <si>
    <t>TPCH014_252 temperature [K]</t>
  </si>
  <si>
    <t>TPCH014_257 temperature [K]</t>
  </si>
  <si>
    <t>TPCH014_267 temperature [K]</t>
  </si>
  <si>
    <t>TPCH014_272 temperature [K]</t>
  </si>
  <si>
    <t>TPCH014_277 temperature [K]</t>
  </si>
  <si>
    <t>TPCH014_282 temperature [K]</t>
  </si>
  <si>
    <t>TPCH014_287 temperature [K]</t>
  </si>
  <si>
    <t>TPCH014_261 temperature [K]</t>
  </si>
  <si>
    <t>TPCH014_213 temperature [K]</t>
  </si>
  <si>
    <t>TPCH014_218 temperature [K]</t>
  </si>
  <si>
    <t>TPCH014_227 temperature [K]</t>
  </si>
  <si>
    <t>TPCH014_232 temperature [K]</t>
  </si>
  <si>
    <t>TPCH014_237 temperature [K]</t>
  </si>
  <si>
    <t>TPCH014_242 temperature [K]</t>
  </si>
  <si>
    <t>TPCH014_247 temperature [K]</t>
  </si>
  <si>
    <t>TPCH014_223 temperature [K]</t>
  </si>
  <si>
    <t>TPCH014_174 temperature [K]</t>
  </si>
  <si>
    <t>TPCH014_179 temperature [K]</t>
  </si>
  <si>
    <t>TPCH014_188 temperature [K]</t>
  </si>
  <si>
    <t>TPCH014_193 temperature [K]</t>
  </si>
  <si>
    <t>TPCH014_198 temperature [K]</t>
  </si>
  <si>
    <t>TPCH014_203 temperature [K]</t>
  </si>
  <si>
    <t>TPCH014_208 temperature [K]</t>
  </si>
  <si>
    <t>TPCH014_183 temperature [K]</t>
  </si>
  <si>
    <t>TPCH014_135 temperature [K]</t>
  </si>
  <si>
    <t>TPCH014_140 temperature [K]</t>
  </si>
  <si>
    <t>TPCH014_149 temperature [K]</t>
  </si>
  <si>
    <t>TPCH014_154 temperature [K]</t>
  </si>
  <si>
    <t>TPCH014_159 temperature [K]</t>
  </si>
  <si>
    <t>TPCH014_164 temperature [K]</t>
  </si>
  <si>
    <t>TPCH014_169 temperature [K]</t>
  </si>
  <si>
    <t>TPCH014_145 temperature [K]</t>
  </si>
  <si>
    <t>TPCH014_96 temperature [K]</t>
  </si>
  <si>
    <t>TPCH014_101 temperature [K]</t>
  </si>
  <si>
    <t>TPCH014_110 temperature [K]</t>
  </si>
  <si>
    <t>TPCH014_115 temperature [K]</t>
  </si>
  <si>
    <t>TPCH014_120 temperature [K]</t>
  </si>
  <si>
    <t>TPCH014_125 temperature [K]</t>
  </si>
  <si>
    <t>TPCH014_130 temperature [K]</t>
  </si>
  <si>
    <t>TPCH014_105 temperature [K]</t>
  </si>
  <si>
    <t>TPCH014_57 temperature [K]</t>
  </si>
  <si>
    <t>TPCH014_62 temperature [K]</t>
  </si>
  <si>
    <t>TPCH014_71 temperature [K]</t>
  </si>
  <si>
    <t>TPCH014_76 temperature [K]</t>
  </si>
  <si>
    <t>TPCH014_81 temperature [K]</t>
  </si>
  <si>
    <t>TPCH014_86 temperature [K]</t>
  </si>
  <si>
    <t>TPCH014_91 temperature [K]</t>
  </si>
  <si>
    <t>TPCH014_67 temperature [K]</t>
  </si>
  <si>
    <t>TPCH014_18 temperature [K]</t>
  </si>
  <si>
    <t>TPCH014_23 temperature [K]</t>
  </si>
  <si>
    <t>TPCH014_32 temperature [K]</t>
  </si>
  <si>
    <t>TPCH014_37 temperature [K]</t>
  </si>
  <si>
    <t>TPCH014_42 temperature [K]</t>
  </si>
  <si>
    <t>TPCH014_47 temperature [K]</t>
  </si>
  <si>
    <t>TPCH014_52 temperature [K]</t>
  </si>
  <si>
    <t>TPCH014_27 temperature [K]</t>
  </si>
  <si>
    <t>TPCH014_4 temperature [K]</t>
  </si>
  <si>
    <t>TPCH014_9 temperature [K]</t>
  </si>
  <si>
    <t>TPCH014_303 temperature [K]</t>
  </si>
  <si>
    <t>TPCH014_308 temperature [K]</t>
  </si>
  <si>
    <t>TPCH014_313 temperature [K]</t>
  </si>
  <si>
    <t>TPCH014_318 temperature [K]</t>
  </si>
  <si>
    <t>TPCH014_323 temperature [K]</t>
  </si>
  <si>
    <t>TPCH014_13 temperature [K]</t>
  </si>
  <si>
    <t>TPCH014_338 temperature [K]</t>
  </si>
  <si>
    <t>TPCH014_337 temperature [K]</t>
  </si>
  <si>
    <t>TPCH014_339 temperature [K]</t>
  </si>
  <si>
    <t>TPCH014_340 temperature [K]</t>
  </si>
  <si>
    <t>TPCH014_341 temperature [K]</t>
  </si>
  <si>
    <t>TPCH014_342 temperature [K]</t>
  </si>
  <si>
    <t>TPCH014_343 temperature [K]</t>
  </si>
  <si>
    <t>TPCH014_344 temperature [K]</t>
  </si>
  <si>
    <t>TPCH014_333 temperature [K]</t>
  </si>
  <si>
    <t>TPCH014_328 temperature [K]</t>
  </si>
  <si>
    <t>TPCH014_346 temperature [K]</t>
  </si>
  <si>
    <t>TPCH014_351 temperature [K]</t>
  </si>
  <si>
    <t>TPCH014_356 temperature [K]</t>
  </si>
  <si>
    <t>TPCH014_361 temperature [K]</t>
  </si>
  <si>
    <t>TPCH014_366 temperature [K]</t>
  </si>
  <si>
    <t>TPCH014_370 temperature [K]</t>
  </si>
  <si>
    <t>Diff</t>
  </si>
  <si>
    <t>%</t>
  </si>
  <si>
    <t>x@CMN_123.fofxy_3</t>
  </si>
  <si>
    <t>x@CMN_456.fofxy_3</t>
  </si>
  <si>
    <t>x@CMN_789.fofxy_3</t>
  </si>
  <si>
    <t>x@M1_CC.fofxy_3</t>
  </si>
  <si>
    <t>x@M2_CC.fofxy_3</t>
  </si>
  <si>
    <t>x@M3_CC.fofxy_3</t>
  </si>
  <si>
    <t>x@M4_CC.fofxy_3</t>
  </si>
  <si>
    <t>x@M5_CC.fofxy_3</t>
  </si>
  <si>
    <t>x@M6_CC.fofxy_3</t>
  </si>
  <si>
    <t>x@M7_CC.fofxy_3</t>
  </si>
  <si>
    <t>x@M8_CC.fofxy_3</t>
  </si>
  <si>
    <t>x@M9_CC.fofxy_3</t>
  </si>
  <si>
    <t>temp@M1_TOP.dynamic_pn_chamber_th_2</t>
  </si>
  <si>
    <t>temp@M1_P2.dynamic_pn_chamber_th_2</t>
  </si>
  <si>
    <t>temp@M1_P3.dynamic_pn_chamber_th_2</t>
  </si>
  <si>
    <t>temp@M1_P4.dynamic_pn_chamber_th_2</t>
  </si>
  <si>
    <t>temp@M1_P5.dynamic_pn_chamber_th_2</t>
  </si>
  <si>
    <t>temp@M1_P6.dynamic_pn_chamber_th_2</t>
  </si>
  <si>
    <t>temp@M1_P7.dynamic_pn_chamber_th_2</t>
  </si>
  <si>
    <t>temp@M1_BOTTOM.dynamic_pn_chamber_th_1</t>
  </si>
  <si>
    <t>temp@M2_TOP.dynamic_pn_chamber_th_2</t>
  </si>
  <si>
    <t>temp@M2_P2.dynamic_pn_chamber_th_2</t>
  </si>
  <si>
    <t>temp@M2_P3.dynamic_pn_chamber_th_2</t>
  </si>
  <si>
    <t>temp@M2_P4.dynamic_pn_chamber_th_2</t>
  </si>
  <si>
    <t>temp@M2_P5.dynamic_pn_chamber_th_2</t>
  </si>
  <si>
    <t>temp@M2_P6.dynamic_pn_chamber_th_2</t>
  </si>
  <si>
    <t>temp@M2_P7.dynamic_pn_chamber_th_2</t>
  </si>
  <si>
    <t>temp@M2_BOTTOM.dynamic_pn_chamber_th_5</t>
  </si>
  <si>
    <t>temp@M3_TOP.dynamic_pn_chamber_th_2</t>
  </si>
  <si>
    <t>temp@M3_P2.dynamic_pn_chamber_th_2</t>
  </si>
  <si>
    <t>temp@M3_P3.dynamic_pn_chamber_th_2</t>
  </si>
  <si>
    <t>temp@M3_P4.dynamic_pn_chamber_th_2</t>
  </si>
  <si>
    <t>temp@M3_P5.dynamic_pn_chamber_th_2</t>
  </si>
  <si>
    <t>temp@M3_P6.dynamic_pn_chamber_th_2</t>
  </si>
  <si>
    <t>temp@M3_P7.dynamic_pn_chamber_th_2</t>
  </si>
  <si>
    <t>temp@M3_BOTTOM.dynamic_pn_chamber_th_1</t>
  </si>
  <si>
    <t>temp@M4_TOP.dynamic_pn_chamber_th_2</t>
  </si>
  <si>
    <t>temp@M4_P2.dynamic_pn_chamber_th_2</t>
  </si>
  <si>
    <t>temp@M4_P3.dynamic_pn_chamber_th_2</t>
  </si>
  <si>
    <t>temp@M4_P4.dynamic_pn_chamber_th_2</t>
  </si>
  <si>
    <t>temp@M4_P5.dynamic_pn_chamber_th_2</t>
  </si>
  <si>
    <t>temp@M4_P6.dynamic_pn_chamber_th_2</t>
  </si>
  <si>
    <t>temp@M4_P7.dynamic_pn_chamber_th_2</t>
  </si>
  <si>
    <t>temp@M4_BOTTOM.dynamic_pn_chamber_th_5</t>
  </si>
  <si>
    <t>temp@M5_TOP.dynamic_pn_chamber_th_2</t>
  </si>
  <si>
    <t>temp@M5_P2.dynamic_pn_chamber_th_2</t>
  </si>
  <si>
    <t>temp@M5_P3.dynamic_pn_chamber_th_2</t>
  </si>
  <si>
    <t>temp@M5_P4.dynamic_pn_chamber_th_2</t>
  </si>
  <si>
    <t>temp@M5_P5.dynamic_pn_chamber_th_2</t>
  </si>
  <si>
    <t>temp@M5_P6.dynamic_pn_chamber_th_2</t>
  </si>
  <si>
    <t>temp@M5_P7.dynamic_pn_chamber_th_2</t>
  </si>
  <si>
    <t>temp@M5_BOTTOM.dynamic_pn_chamber_th_1</t>
  </si>
  <si>
    <t>temp@M6_TOP.dynamic_pn_chamber_th_2</t>
  </si>
  <si>
    <t>temp@M6_P2.dynamic_pn_chamber_th_2</t>
  </si>
  <si>
    <t>temp@M6_P3.dynamic_pn_chamber_th_2</t>
  </si>
  <si>
    <t>temp@M6_P4.dynamic_pn_chamber_th_2</t>
  </si>
  <si>
    <t>temp@M6_P5.dynamic_pn_chamber_th_2</t>
  </si>
  <si>
    <t>temp@M6_P6.dynamic_pn_chamber_th_2</t>
  </si>
  <si>
    <t>temp@M6_P7.dynamic_pn_chamber_th_2</t>
  </si>
  <si>
    <t>temp@M6_BOTTOM.dynamic_pn_chamber_th_5</t>
  </si>
  <si>
    <t>temp@M7_TOP.dynamic_pn_chamber_th_2</t>
  </si>
  <si>
    <t>temp@M7_P2.dynamic_pn_chamber_th_2</t>
  </si>
  <si>
    <t>temp@M7_P3.dynamic_pn_chamber_th_2</t>
  </si>
  <si>
    <t>temp@M7_P4.dynamic_pn_chamber_th_2</t>
  </si>
  <si>
    <t>temp@M7_P5.dynamic_pn_chamber_th_2</t>
  </si>
  <si>
    <t>temp@M7_P6.dynamic_pn_chamber_th_2</t>
  </si>
  <si>
    <t>temp@M7_P7.dynamic_pn_chamber_th_2</t>
  </si>
  <si>
    <t>temp@M7_BOTTOM.dynamic_pn_chamber_th_1</t>
  </si>
  <si>
    <t>temp@M8_TOP.dynamic_pn_chamber_th_2</t>
  </si>
  <si>
    <t>temp@M8_P2.dynamic_pn_chamber_th_2</t>
  </si>
  <si>
    <t>temp@M8_P3.dynamic_pn_chamber_th_2</t>
  </si>
  <si>
    <t>temp@M8_P4.dynamic_pn_chamber_th_2</t>
  </si>
  <si>
    <t>temp@M8_P5.dynamic_pn_chamber_th_2</t>
  </si>
  <si>
    <t>temp@M8_P6.dynamic_pn_chamber_th_2</t>
  </si>
  <si>
    <t>temp@M8_P7.dynamic_pn_chamber_th_2</t>
  </si>
  <si>
    <t>temp@M8_BOTTOM.dynamic_pn_chamber_th_1</t>
  </si>
  <si>
    <t>temp@M0_TOP.dynamic_pn_chamber_th</t>
  </si>
  <si>
    <t>temp@M0_P2.dynamic_pn_chamber_th</t>
  </si>
  <si>
    <t>temp@M0_P3.dynamic_pn_chamber_th</t>
  </si>
  <si>
    <t>temp@M0_P4.dynamic_pn_chamber_th</t>
  </si>
  <si>
    <t>temp@M0_P5.dynamic_pn_chamber_th</t>
  </si>
  <si>
    <t>temp@M0_P6.dynamic_pn_chamber_th</t>
  </si>
  <si>
    <t>temp@M0_P7.dynamic_pn_chamber_th</t>
  </si>
  <si>
    <t>temp@M0_BOTTOM.dynamic_pn_chamber_th</t>
  </si>
  <si>
    <t>temp@M9_TOP.dynamic_pn_chamber_th_2</t>
  </si>
  <si>
    <t>temp@M9_P2.dynamic_pn_chamber_th_2</t>
  </si>
  <si>
    <t>temp@M9_P3.dynamic_pn_chamber_th_2</t>
  </si>
  <si>
    <t>temp@M9_P4.dynamic_pn_chamber_th_2</t>
  </si>
  <si>
    <t>temp@M9_P5.dynamic_pn_chamber_th_2</t>
  </si>
  <si>
    <t>temp@M9_P6.dynamic_pn_chamber_th_2</t>
  </si>
  <si>
    <t>temp@M9_P7.dynamic_pn_chamber_th_2</t>
  </si>
  <si>
    <t>temp@M9_BOTTOM.dynamic_pn_chamber_th_1</t>
  </si>
  <si>
    <t>MAX</t>
  </si>
  <si>
    <t>Mean</t>
  </si>
  <si>
    <t>Conta</t>
  </si>
  <si>
    <t>MAE</t>
  </si>
  <si>
    <t>MSE</t>
  </si>
  <si>
    <t>Amesim</t>
  </si>
  <si>
    <t>Rete neurale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</si>
</sst>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1" fontId="0" fillId="0" borderId="0" xfId="0" applyNumberFormat="1"/>
    <xf numFmtId="9" fontId="0" fillId="0" borderId="0" xfId="1" applyFont="1"/>
    <xf numFmtId="43" fontId="0" fillId="0" borderId="0" xfId="2" applyFont="1"/>
    <xf numFmtId="44" fontId="0" fillId="0" borderId="0" xfId="3" applyFont="1"/>
    <xf numFmtId="10" fontId="0" fillId="0" borderId="0" xfId="1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">
    <cellStyle name="Migliaia" xfId="2" builtinId="3"/>
    <cellStyle name="Normale" xfId="0" builtinId="0"/>
    <cellStyle name="Percentuale" xfId="1" builtinId="5"/>
    <cellStyle name="Valuta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3"/>
  <sheetViews>
    <sheetView tabSelected="1" workbookViewId="0">
      <selection activeCell="C29" sqref="C29"/>
    </sheetView>
  </sheetViews>
  <sheetFormatPr defaultRowHeight="15" x14ac:dyDescent="0.25"/>
  <cols>
    <col min="6" max="6" width="9.5703125" bestFit="1" customWidth="1"/>
    <col min="8" max="8" width="10.28515625" customWidth="1"/>
  </cols>
  <sheetData>
    <row r="1" spans="1:94" x14ac:dyDescent="0.25"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  <c r="AW1" t="s">
        <v>141</v>
      </c>
      <c r="AX1" t="s">
        <v>142</v>
      </c>
      <c r="AY1" t="s">
        <v>143</v>
      </c>
      <c r="AZ1" t="s">
        <v>144</v>
      </c>
      <c r="BA1" t="s">
        <v>145</v>
      </c>
      <c r="BB1" t="s">
        <v>146</v>
      </c>
      <c r="BC1" t="s">
        <v>147</v>
      </c>
      <c r="BD1" t="s">
        <v>148</v>
      </c>
      <c r="BE1" t="s">
        <v>149</v>
      </c>
      <c r="BF1" t="s">
        <v>150</v>
      </c>
      <c r="BG1" t="s">
        <v>151</v>
      </c>
      <c r="BH1" t="s">
        <v>152</v>
      </c>
      <c r="BI1" t="s">
        <v>153</v>
      </c>
      <c r="BJ1" t="s">
        <v>154</v>
      </c>
      <c r="BK1" t="s">
        <v>155</v>
      </c>
      <c r="BL1" t="s">
        <v>156</v>
      </c>
      <c r="BM1" t="s">
        <v>157</v>
      </c>
      <c r="BN1" t="s">
        <v>158</v>
      </c>
      <c r="BO1" t="s">
        <v>159</v>
      </c>
      <c r="BP1" t="s">
        <v>160</v>
      </c>
      <c r="BQ1" t="s">
        <v>161</v>
      </c>
      <c r="BR1" t="s">
        <v>162</v>
      </c>
      <c r="BS1" t="s">
        <v>163</v>
      </c>
      <c r="BT1" t="s">
        <v>164</v>
      </c>
      <c r="BU1" t="s">
        <v>165</v>
      </c>
      <c r="BV1" t="s">
        <v>166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174</v>
      </c>
      <c r="CE1" t="s">
        <v>175</v>
      </c>
      <c r="CF1" t="s">
        <v>176</v>
      </c>
      <c r="CG1" t="s">
        <v>177</v>
      </c>
      <c r="CH1" t="s">
        <v>178</v>
      </c>
      <c r="CI1" t="s">
        <v>179</v>
      </c>
      <c r="CJ1" t="s">
        <v>180</v>
      </c>
      <c r="CK1" t="s">
        <v>181</v>
      </c>
      <c r="CL1" t="s">
        <v>182</v>
      </c>
      <c r="CM1" t="s">
        <v>183</v>
      </c>
      <c r="CN1" t="s">
        <v>184</v>
      </c>
      <c r="CO1" t="s">
        <v>185</v>
      </c>
      <c r="CP1" t="s">
        <v>186</v>
      </c>
    </row>
    <row r="2" spans="1:9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</row>
    <row r="3" spans="1:94" x14ac:dyDescent="0.25">
      <c r="A3" s="6" t="s">
        <v>192</v>
      </c>
      <c r="B3">
        <v>15768000</v>
      </c>
      <c r="C3">
        <v>0.5</v>
      </c>
      <c r="D3">
        <v>0.3</v>
      </c>
      <c r="E3">
        <v>0.7</v>
      </c>
      <c r="F3">
        <v>0.8</v>
      </c>
      <c r="G3">
        <v>0.7</v>
      </c>
      <c r="H3">
        <v>0.6</v>
      </c>
      <c r="I3">
        <v>0.5</v>
      </c>
      <c r="J3">
        <v>0.4</v>
      </c>
      <c r="K3">
        <v>0.3</v>
      </c>
      <c r="L3">
        <v>0.2</v>
      </c>
      <c r="M3">
        <v>0.1</v>
      </c>
      <c r="N3">
        <v>0.1</v>
      </c>
      <c r="O3">
        <v>348.86664662669102</v>
      </c>
      <c r="P3">
        <v>347.29566444871801</v>
      </c>
      <c r="Q3">
        <v>348.37235952213098</v>
      </c>
      <c r="R3">
        <v>348.57146450336398</v>
      </c>
      <c r="S3">
        <v>347.87479695567998</v>
      </c>
      <c r="T3">
        <v>345.92211335602599</v>
      </c>
      <c r="U3">
        <v>341.248832595973</v>
      </c>
      <c r="V3">
        <v>328.22366404332899</v>
      </c>
      <c r="W3">
        <v>375.75961973173099</v>
      </c>
      <c r="X3">
        <v>373.78962302736301</v>
      </c>
      <c r="Y3">
        <v>374.47250583621502</v>
      </c>
      <c r="Z3">
        <v>374.590243934417</v>
      </c>
      <c r="AA3">
        <v>374.14653658289001</v>
      </c>
      <c r="AB3">
        <v>372.93161580396901</v>
      </c>
      <c r="AC3">
        <v>370.49279141923</v>
      </c>
      <c r="AD3">
        <v>370.80441052986902</v>
      </c>
      <c r="AE3">
        <v>437.891224932233</v>
      </c>
      <c r="AF3">
        <v>433.132470462698</v>
      </c>
      <c r="AG3">
        <v>434.11749685903402</v>
      </c>
      <c r="AH3">
        <v>434.27911891977999</v>
      </c>
      <c r="AI3">
        <v>433.70121545204</v>
      </c>
      <c r="AJ3">
        <v>432.23416523826302</v>
      </c>
      <c r="AK3">
        <v>430.34488763201603</v>
      </c>
      <c r="AL3">
        <v>410.93268342796898</v>
      </c>
      <c r="AM3">
        <v>410.24094591231301</v>
      </c>
      <c r="AN3">
        <v>409.56886461035702</v>
      </c>
      <c r="AO3">
        <v>409.71435232231801</v>
      </c>
      <c r="AP3">
        <v>409.895429683879</v>
      </c>
      <c r="AQ3">
        <v>409.85705550591098</v>
      </c>
      <c r="AR3">
        <v>409.78811550176198</v>
      </c>
      <c r="AS3">
        <v>408.6915293582</v>
      </c>
      <c r="AT3">
        <v>393.23943866833298</v>
      </c>
      <c r="AU3">
        <v>402.83788224477399</v>
      </c>
      <c r="AV3">
        <v>402.125188169659</v>
      </c>
      <c r="AW3">
        <v>402.14593247033997</v>
      </c>
      <c r="AX3">
        <v>402.16225861212803</v>
      </c>
      <c r="AY3">
        <v>402.18103806300502</v>
      </c>
      <c r="AZ3">
        <v>402.20208124678499</v>
      </c>
      <c r="BA3">
        <v>401.55221488154302</v>
      </c>
      <c r="BB3">
        <v>392.25927762203298</v>
      </c>
      <c r="BC3">
        <v>445.70558735497502</v>
      </c>
      <c r="BD3">
        <v>444.097997743863</v>
      </c>
      <c r="BE3">
        <v>444.339358538721</v>
      </c>
      <c r="BF3">
        <v>444.51442174946902</v>
      </c>
      <c r="BG3">
        <v>444.44834657140598</v>
      </c>
      <c r="BH3">
        <v>444.31381454235901</v>
      </c>
      <c r="BI3">
        <v>443.14062828091397</v>
      </c>
      <c r="BJ3">
        <v>431.04223324685398</v>
      </c>
      <c r="BK3">
        <v>420.10283211872297</v>
      </c>
      <c r="BL3">
        <v>417.94176035498401</v>
      </c>
      <c r="BM3">
        <v>418.56877869220102</v>
      </c>
      <c r="BN3">
        <v>418.79634818984999</v>
      </c>
      <c r="BO3">
        <v>418.43561641173397</v>
      </c>
      <c r="BP3">
        <v>417.45897522394301</v>
      </c>
      <c r="BQ3">
        <v>415.41447502191699</v>
      </c>
      <c r="BR3">
        <v>401.14825338639002</v>
      </c>
      <c r="BS3">
        <v>347.10640668144401</v>
      </c>
      <c r="BT3">
        <v>346.16853181991399</v>
      </c>
      <c r="BU3">
        <v>347.16338592751498</v>
      </c>
      <c r="BV3">
        <v>347.20110335461499</v>
      </c>
      <c r="BW3">
        <v>346.88181263559801</v>
      </c>
      <c r="BX3">
        <v>345.982356115323</v>
      </c>
      <c r="BY3">
        <v>343.28473983635001</v>
      </c>
      <c r="BZ3">
        <v>339.94955975810899</v>
      </c>
      <c r="CA3">
        <v>327.32168705979802</v>
      </c>
      <c r="CB3">
        <v>324.97557357472198</v>
      </c>
      <c r="CC3">
        <v>328.480788981758</v>
      </c>
      <c r="CD3">
        <v>327.60581342283302</v>
      </c>
      <c r="CE3">
        <v>325.816434335525</v>
      </c>
      <c r="CF3">
        <v>323.52144288711497</v>
      </c>
      <c r="CG3">
        <v>321.791895615013</v>
      </c>
      <c r="CH3">
        <v>313.41762282924998</v>
      </c>
      <c r="CI3">
        <v>321.39717805666999</v>
      </c>
      <c r="CJ3">
        <v>321.51258003126202</v>
      </c>
      <c r="CK3">
        <v>321.90272005596398</v>
      </c>
      <c r="CL3">
        <v>321.64792991713801</v>
      </c>
      <c r="CM3">
        <v>321.20445319386499</v>
      </c>
      <c r="CN3">
        <v>320.46146559836598</v>
      </c>
      <c r="CO3">
        <v>318.78908540931099</v>
      </c>
      <c r="CP3">
        <v>313.26725851558098</v>
      </c>
    </row>
    <row r="4" spans="1:94" x14ac:dyDescent="0.25">
      <c r="A4" s="6"/>
      <c r="B4">
        <v>31536000</v>
      </c>
      <c r="C4">
        <v>0.4</v>
      </c>
      <c r="D4">
        <v>0.6</v>
      </c>
      <c r="E4">
        <v>0.5</v>
      </c>
      <c r="F4">
        <v>0.5</v>
      </c>
      <c r="G4">
        <v>0.4</v>
      </c>
      <c r="H4">
        <v>0.4</v>
      </c>
      <c r="I4">
        <v>0.3</v>
      </c>
      <c r="J4">
        <v>0.3</v>
      </c>
      <c r="K4">
        <v>0.2</v>
      </c>
      <c r="L4">
        <v>0.2</v>
      </c>
      <c r="M4">
        <v>0.1</v>
      </c>
      <c r="N4">
        <v>0.1</v>
      </c>
      <c r="O4">
        <v>324.28439524955002</v>
      </c>
      <c r="P4">
        <v>323.27067206003699</v>
      </c>
      <c r="Q4">
        <v>323.93911914361303</v>
      </c>
      <c r="R4">
        <v>324.095697890201</v>
      </c>
      <c r="S4">
        <v>323.72641483479799</v>
      </c>
      <c r="T4">
        <v>322.63496876288502</v>
      </c>
      <c r="U4">
        <v>319.99283902891898</v>
      </c>
      <c r="V4">
        <v>312.56632673348901</v>
      </c>
      <c r="W4">
        <v>337.817720728837</v>
      </c>
      <c r="X4">
        <v>336.76325297588397</v>
      </c>
      <c r="Y4">
        <v>337.19447991382401</v>
      </c>
      <c r="Z4">
        <v>337.29156653375401</v>
      </c>
      <c r="AA4">
        <v>337.06907447404399</v>
      </c>
      <c r="AB4">
        <v>336.41555871673103</v>
      </c>
      <c r="AC4">
        <v>335.07312462082803</v>
      </c>
      <c r="AD4">
        <v>335.63364911344598</v>
      </c>
      <c r="AE4">
        <v>376.934270240719</v>
      </c>
      <c r="AF4">
        <v>373.95390209322898</v>
      </c>
      <c r="AG4">
        <v>374.71567718831199</v>
      </c>
      <c r="AH4">
        <v>374.89448938905798</v>
      </c>
      <c r="AI4">
        <v>374.57118806298803</v>
      </c>
      <c r="AJ4">
        <v>373.64477152639699</v>
      </c>
      <c r="AK4">
        <v>372.50771529189001</v>
      </c>
      <c r="AL4">
        <v>361.15072625431702</v>
      </c>
      <c r="AM4">
        <v>364.23992009184298</v>
      </c>
      <c r="AN4">
        <v>363.83519029216302</v>
      </c>
      <c r="AO4">
        <v>363.97374188920298</v>
      </c>
      <c r="AP4">
        <v>364.03863976883298</v>
      </c>
      <c r="AQ4">
        <v>363.787394462566</v>
      </c>
      <c r="AR4">
        <v>363.46842828331501</v>
      </c>
      <c r="AS4">
        <v>362.90916979172499</v>
      </c>
      <c r="AT4">
        <v>354.37804858332601</v>
      </c>
      <c r="AU4">
        <v>373.57867292946099</v>
      </c>
      <c r="AV4">
        <v>373.11034194574501</v>
      </c>
      <c r="AW4">
        <v>373.10504711631597</v>
      </c>
      <c r="AX4">
        <v>373.09538706517299</v>
      </c>
      <c r="AY4">
        <v>373.09971710844297</v>
      </c>
      <c r="AZ4">
        <v>373.126653359052</v>
      </c>
      <c r="BA4">
        <v>372.76448460726698</v>
      </c>
      <c r="BB4">
        <v>366.42175125171599</v>
      </c>
      <c r="BC4">
        <v>398.70648315401502</v>
      </c>
      <c r="BD4">
        <v>397.68616480262898</v>
      </c>
      <c r="BE4">
        <v>397.90948211060498</v>
      </c>
      <c r="BF4">
        <v>398.03358581923402</v>
      </c>
      <c r="BG4">
        <v>398.03227653272103</v>
      </c>
      <c r="BH4">
        <v>397.96302209937397</v>
      </c>
      <c r="BI4">
        <v>397.34136731611102</v>
      </c>
      <c r="BJ4">
        <v>389.694713384745</v>
      </c>
      <c r="BK4">
        <v>390.456590448859</v>
      </c>
      <c r="BL4">
        <v>388.170089421412</v>
      </c>
      <c r="BM4">
        <v>388.97813022554601</v>
      </c>
      <c r="BN4">
        <v>389.30959930741898</v>
      </c>
      <c r="BO4">
        <v>389.00830777607399</v>
      </c>
      <c r="BP4">
        <v>388.10413099817202</v>
      </c>
      <c r="BQ4">
        <v>386.37576129953999</v>
      </c>
      <c r="BR4">
        <v>375.36755816380099</v>
      </c>
      <c r="BS4">
        <v>331.94429727560299</v>
      </c>
      <c r="BT4">
        <v>330.86416928433601</v>
      </c>
      <c r="BU4">
        <v>331.83082554113702</v>
      </c>
      <c r="BV4">
        <v>331.88987184339902</v>
      </c>
      <c r="BW4">
        <v>331.63432298602601</v>
      </c>
      <c r="BX4">
        <v>330.89742661769401</v>
      </c>
      <c r="BY4">
        <v>328.81767239731602</v>
      </c>
      <c r="BZ4">
        <v>326.78518107147801</v>
      </c>
      <c r="CA4">
        <v>316.30196526933702</v>
      </c>
      <c r="CB4">
        <v>314.07225492861198</v>
      </c>
      <c r="CC4">
        <v>317.01293155864801</v>
      </c>
      <c r="CD4">
        <v>316.43659804814399</v>
      </c>
      <c r="CE4">
        <v>315.29878661616198</v>
      </c>
      <c r="CF4">
        <v>313.79107073486102</v>
      </c>
      <c r="CG4">
        <v>312.608494270508</v>
      </c>
      <c r="CH4">
        <v>307.93523978280001</v>
      </c>
      <c r="CI4">
        <v>314.14201295656397</v>
      </c>
      <c r="CJ4">
        <v>314.05127801514402</v>
      </c>
      <c r="CK4">
        <v>314.40660512518002</v>
      </c>
      <c r="CL4">
        <v>314.17141297325799</v>
      </c>
      <c r="CM4">
        <v>313.81076509153701</v>
      </c>
      <c r="CN4">
        <v>313.23371272145101</v>
      </c>
      <c r="CO4">
        <v>312.01747837080501</v>
      </c>
      <c r="CP4">
        <v>307.833818961661</v>
      </c>
    </row>
    <row r="5" spans="1:94" x14ac:dyDescent="0.25">
      <c r="A5" s="6"/>
      <c r="B5">
        <v>47304000</v>
      </c>
      <c r="C5">
        <v>0.6</v>
      </c>
      <c r="D5">
        <v>0.4</v>
      </c>
      <c r="E5">
        <v>0.8</v>
      </c>
      <c r="F5">
        <v>0.6</v>
      </c>
      <c r="G5">
        <v>0.6</v>
      </c>
      <c r="H5">
        <v>0.5</v>
      </c>
      <c r="I5">
        <v>0.5</v>
      </c>
      <c r="J5">
        <v>0.4</v>
      </c>
      <c r="K5">
        <v>0.4</v>
      </c>
      <c r="L5">
        <v>0.3</v>
      </c>
      <c r="M5">
        <v>0.2</v>
      </c>
      <c r="N5">
        <v>0.2</v>
      </c>
      <c r="O5">
        <v>332.21856493134902</v>
      </c>
      <c r="P5">
        <v>331.07879350072102</v>
      </c>
      <c r="Q5">
        <v>331.89010759473803</v>
      </c>
      <c r="R5">
        <v>332.068702141053</v>
      </c>
      <c r="S5">
        <v>331.61245981149199</v>
      </c>
      <c r="T5">
        <v>330.26205421134699</v>
      </c>
      <c r="U5">
        <v>326.96160229294497</v>
      </c>
      <c r="V5">
        <v>317.74169081254303</v>
      </c>
      <c r="W5">
        <v>357.02461951689799</v>
      </c>
      <c r="X5">
        <v>355.31660943857202</v>
      </c>
      <c r="Y5">
        <v>355.95930719185702</v>
      </c>
      <c r="Z5">
        <v>356.09707108596399</v>
      </c>
      <c r="AA5">
        <v>355.73772766234703</v>
      </c>
      <c r="AB5">
        <v>354.69790360713802</v>
      </c>
      <c r="AC5">
        <v>352.68127468163101</v>
      </c>
      <c r="AD5">
        <v>353.98736372039798</v>
      </c>
      <c r="AE5">
        <v>407.40853741595998</v>
      </c>
      <c r="AF5">
        <v>403.57563906172197</v>
      </c>
      <c r="AG5">
        <v>404.46693402081502</v>
      </c>
      <c r="AH5">
        <v>404.64983802753</v>
      </c>
      <c r="AI5">
        <v>404.18922105728097</v>
      </c>
      <c r="AJ5">
        <v>402.97331024354202</v>
      </c>
      <c r="AK5">
        <v>401.49844007974099</v>
      </c>
      <c r="AL5">
        <v>386.23426288957802</v>
      </c>
      <c r="AM5">
        <v>397.170790785083</v>
      </c>
      <c r="AN5">
        <v>396.08398700338302</v>
      </c>
      <c r="AO5">
        <v>396.35317760853201</v>
      </c>
      <c r="AP5">
        <v>396.46624721423098</v>
      </c>
      <c r="AQ5">
        <v>396.26835165175601</v>
      </c>
      <c r="AR5">
        <v>395.97231643839098</v>
      </c>
      <c r="AS5">
        <v>395.20742071932398</v>
      </c>
      <c r="AT5">
        <v>383.64403548811299</v>
      </c>
      <c r="AU5">
        <v>402.959939871085</v>
      </c>
      <c r="AV5">
        <v>402.34055940189501</v>
      </c>
      <c r="AW5">
        <v>402.26502903737401</v>
      </c>
      <c r="AX5">
        <v>402.21687568682103</v>
      </c>
      <c r="AY5">
        <v>402.19012625101402</v>
      </c>
      <c r="AZ5">
        <v>402.21791206786799</v>
      </c>
      <c r="BA5">
        <v>401.58690903407</v>
      </c>
      <c r="BB5">
        <v>392.65108827514001</v>
      </c>
      <c r="BC5">
        <v>482.74759082845998</v>
      </c>
      <c r="BD5">
        <v>480.30391408044102</v>
      </c>
      <c r="BE5">
        <v>480.68199335506102</v>
      </c>
      <c r="BF5">
        <v>480.93674539248298</v>
      </c>
      <c r="BG5">
        <v>480.97514743145399</v>
      </c>
      <c r="BH5">
        <v>480.94073334477798</v>
      </c>
      <c r="BI5">
        <v>479.46261484564701</v>
      </c>
      <c r="BJ5">
        <v>464.16740491114098</v>
      </c>
      <c r="BK5">
        <v>458.64255446448402</v>
      </c>
      <c r="BL5">
        <v>455.01860528697699</v>
      </c>
      <c r="BM5">
        <v>455.95662811640602</v>
      </c>
      <c r="BN5">
        <v>456.346096150226</v>
      </c>
      <c r="BO5">
        <v>455.93016095939601</v>
      </c>
      <c r="BP5">
        <v>454.70178328443001</v>
      </c>
      <c r="BQ5">
        <v>452.070568756027</v>
      </c>
      <c r="BR5">
        <v>432.68886972266699</v>
      </c>
      <c r="BS5">
        <v>367.50590271061901</v>
      </c>
      <c r="BT5">
        <v>365.90776646578001</v>
      </c>
      <c r="BU5">
        <v>367.35432425109099</v>
      </c>
      <c r="BV5">
        <v>367.45139639222202</v>
      </c>
      <c r="BW5">
        <v>367.05579105199598</v>
      </c>
      <c r="BX5">
        <v>365.86423003042597</v>
      </c>
      <c r="BY5">
        <v>362.24785851299299</v>
      </c>
      <c r="BZ5">
        <v>357.42278077470303</v>
      </c>
      <c r="CA5">
        <v>338.98813487729899</v>
      </c>
      <c r="CB5">
        <v>336.054722839097</v>
      </c>
      <c r="CC5">
        <v>340.68276284108401</v>
      </c>
      <c r="CD5">
        <v>339.670328294108</v>
      </c>
      <c r="CE5">
        <v>337.59946962498202</v>
      </c>
      <c r="CF5">
        <v>334.78982680627001</v>
      </c>
      <c r="CG5">
        <v>332.42642218809499</v>
      </c>
      <c r="CH5">
        <v>321.788326477863</v>
      </c>
      <c r="CI5">
        <v>334.58396018918103</v>
      </c>
      <c r="CJ5">
        <v>334.58126482661203</v>
      </c>
      <c r="CK5">
        <v>335.14114228047703</v>
      </c>
      <c r="CL5">
        <v>334.77986842157702</v>
      </c>
      <c r="CM5">
        <v>334.12736368974402</v>
      </c>
      <c r="CN5">
        <v>333.05300748589002</v>
      </c>
      <c r="CO5">
        <v>330.65257636178598</v>
      </c>
      <c r="CP5">
        <v>322.57600975347202</v>
      </c>
    </row>
    <row r="6" spans="1:94" x14ac:dyDescent="0.25">
      <c r="A6" s="6"/>
      <c r="B6">
        <v>63072000</v>
      </c>
      <c r="C6">
        <v>0.7</v>
      </c>
      <c r="D6">
        <v>0.2</v>
      </c>
      <c r="E6">
        <v>0.9</v>
      </c>
      <c r="F6">
        <v>0.7</v>
      </c>
      <c r="G6">
        <v>0.7</v>
      </c>
      <c r="H6">
        <v>0.6</v>
      </c>
      <c r="I6">
        <v>0.6</v>
      </c>
      <c r="J6">
        <v>0.5</v>
      </c>
      <c r="K6">
        <v>0.5</v>
      </c>
      <c r="L6">
        <v>0.4</v>
      </c>
      <c r="M6">
        <v>0.3</v>
      </c>
      <c r="N6">
        <v>0.3</v>
      </c>
      <c r="O6">
        <v>345.97314163361301</v>
      </c>
      <c r="P6">
        <v>344.92189227208502</v>
      </c>
      <c r="Q6">
        <v>345.89751196691998</v>
      </c>
      <c r="R6">
        <v>346.06627531859601</v>
      </c>
      <c r="S6">
        <v>345.44147883896699</v>
      </c>
      <c r="T6">
        <v>343.66247390252403</v>
      </c>
      <c r="U6">
        <v>339.22464363836599</v>
      </c>
      <c r="V6">
        <v>327.100399834271</v>
      </c>
      <c r="W6">
        <v>378.446520122457</v>
      </c>
      <c r="X6">
        <v>376.57674368392702</v>
      </c>
      <c r="Y6">
        <v>377.23872243904901</v>
      </c>
      <c r="Z6">
        <v>377.33714513028599</v>
      </c>
      <c r="AA6">
        <v>376.86577754719798</v>
      </c>
      <c r="AB6">
        <v>375.60962672360699</v>
      </c>
      <c r="AC6">
        <v>373.07806436953098</v>
      </c>
      <c r="AD6">
        <v>373.22575016037598</v>
      </c>
      <c r="AE6">
        <v>448.90132260799402</v>
      </c>
      <c r="AF6">
        <v>444.34437589673598</v>
      </c>
      <c r="AG6">
        <v>445.171232692469</v>
      </c>
      <c r="AH6">
        <v>445.24304888623101</v>
      </c>
      <c r="AI6">
        <v>444.58743071484503</v>
      </c>
      <c r="AJ6">
        <v>443.097238774235</v>
      </c>
      <c r="AK6">
        <v>441.1592225576</v>
      </c>
      <c r="AL6">
        <v>421.04044814913698</v>
      </c>
      <c r="AM6">
        <v>427.26920751026398</v>
      </c>
      <c r="AN6">
        <v>426.05786520694897</v>
      </c>
      <c r="AO6">
        <v>426.175338843004</v>
      </c>
      <c r="AP6">
        <v>426.25036678395998</v>
      </c>
      <c r="AQ6">
        <v>426.06636691917402</v>
      </c>
      <c r="AR6">
        <v>425.90962204875399</v>
      </c>
      <c r="AS6">
        <v>424.52056482835599</v>
      </c>
      <c r="AT6">
        <v>407.65323603304699</v>
      </c>
      <c r="AU6">
        <v>430.97060565038799</v>
      </c>
      <c r="AV6">
        <v>430.18528935595202</v>
      </c>
      <c r="AW6">
        <v>430.08118954639002</v>
      </c>
      <c r="AX6">
        <v>430.00250404851101</v>
      </c>
      <c r="AY6">
        <v>429.96711426178598</v>
      </c>
      <c r="AZ6">
        <v>429.99683056517802</v>
      </c>
      <c r="BA6">
        <v>429.03349352824</v>
      </c>
      <c r="BB6">
        <v>417.23623728825402</v>
      </c>
      <c r="BC6">
        <v>549.68830527744899</v>
      </c>
      <c r="BD6">
        <v>546.88885681175896</v>
      </c>
      <c r="BE6">
        <v>547.01630213350597</v>
      </c>
      <c r="BF6">
        <v>547.108563594413</v>
      </c>
      <c r="BG6">
        <v>547.28690068857998</v>
      </c>
      <c r="BH6">
        <v>547.55993169227202</v>
      </c>
      <c r="BI6">
        <v>544.80290665643702</v>
      </c>
      <c r="BJ6">
        <v>520.16282538697806</v>
      </c>
      <c r="BK6">
        <v>555.73581287160005</v>
      </c>
      <c r="BL6">
        <v>551.58866086355101</v>
      </c>
      <c r="BM6">
        <v>552.05421258685499</v>
      </c>
      <c r="BN6">
        <v>552.20952831028706</v>
      </c>
      <c r="BO6">
        <v>551.77899226053501</v>
      </c>
      <c r="BP6">
        <v>550.53842957090399</v>
      </c>
      <c r="BQ6">
        <v>546.39666348811602</v>
      </c>
      <c r="BR6">
        <v>514.62619161623502</v>
      </c>
      <c r="BS6">
        <v>423.34964712960402</v>
      </c>
      <c r="BT6">
        <v>422.01491932244198</v>
      </c>
      <c r="BU6">
        <v>423.47224375652002</v>
      </c>
      <c r="BV6">
        <v>423.61392465184798</v>
      </c>
      <c r="BW6">
        <v>423.20126168694497</v>
      </c>
      <c r="BX6">
        <v>421.72560588825002</v>
      </c>
      <c r="BY6">
        <v>416.29508742006902</v>
      </c>
      <c r="BZ6">
        <v>405.53304793571903</v>
      </c>
      <c r="CA6">
        <v>376.97956287746302</v>
      </c>
      <c r="CB6">
        <v>376.95398192893703</v>
      </c>
      <c r="CC6">
        <v>381.466321027042</v>
      </c>
      <c r="CD6">
        <v>379.94592234245698</v>
      </c>
      <c r="CE6">
        <v>376.81140414029198</v>
      </c>
      <c r="CF6">
        <v>372.38075609141401</v>
      </c>
      <c r="CG6">
        <v>368.28050369756198</v>
      </c>
      <c r="CH6">
        <v>343.57555253312898</v>
      </c>
      <c r="CI6">
        <v>369.51391776495501</v>
      </c>
      <c r="CJ6">
        <v>370.00899309859</v>
      </c>
      <c r="CK6">
        <v>370.65056983954599</v>
      </c>
      <c r="CL6">
        <v>370.22752283169501</v>
      </c>
      <c r="CM6">
        <v>369.25132274386903</v>
      </c>
      <c r="CN6">
        <v>367.48530867321898</v>
      </c>
      <c r="CO6">
        <v>363.017588621112</v>
      </c>
      <c r="CP6">
        <v>348.71887176284599</v>
      </c>
    </row>
    <row r="7" spans="1:94" x14ac:dyDescent="0.25">
      <c r="A7" s="6"/>
      <c r="B7">
        <v>78840000</v>
      </c>
      <c r="C7">
        <v>0.3</v>
      </c>
      <c r="D7">
        <v>0.5</v>
      </c>
      <c r="E7">
        <v>0.6</v>
      </c>
      <c r="F7">
        <v>0.7</v>
      </c>
      <c r="G7">
        <v>0.6</v>
      </c>
      <c r="H7">
        <v>0.6</v>
      </c>
      <c r="I7">
        <v>0.5</v>
      </c>
      <c r="J7">
        <v>0.5</v>
      </c>
      <c r="K7">
        <v>0.4</v>
      </c>
      <c r="L7">
        <v>0.4</v>
      </c>
      <c r="M7">
        <v>0.3</v>
      </c>
      <c r="N7">
        <v>0.3</v>
      </c>
      <c r="O7">
        <v>346.767349525231</v>
      </c>
      <c r="P7">
        <v>345.480920602146</v>
      </c>
      <c r="Q7">
        <v>346.37897268921301</v>
      </c>
      <c r="R7">
        <v>346.47723721615199</v>
      </c>
      <c r="S7">
        <v>345.81017351562099</v>
      </c>
      <c r="T7">
        <v>343.99361411375099</v>
      </c>
      <c r="U7">
        <v>339.60518607573403</v>
      </c>
      <c r="V7">
        <v>327.43981447674599</v>
      </c>
      <c r="W7">
        <v>369.363116753415</v>
      </c>
      <c r="X7">
        <v>367.746115017563</v>
      </c>
      <c r="Y7">
        <v>368.24224287219698</v>
      </c>
      <c r="Z7">
        <v>368.30981422009302</v>
      </c>
      <c r="AA7">
        <v>367.935161233695</v>
      </c>
      <c r="AB7">
        <v>366.94108728528499</v>
      </c>
      <c r="AC7">
        <v>364.86811299476898</v>
      </c>
      <c r="AD7">
        <v>364.45476832938499</v>
      </c>
      <c r="AE7">
        <v>434.4499116893</v>
      </c>
      <c r="AF7">
        <v>429.52995180744398</v>
      </c>
      <c r="AG7">
        <v>430.458306475847</v>
      </c>
      <c r="AH7">
        <v>430.61189222174397</v>
      </c>
      <c r="AI7">
        <v>430.08919557841602</v>
      </c>
      <c r="AJ7">
        <v>428.72054849324002</v>
      </c>
      <c r="AK7">
        <v>426.93574429479003</v>
      </c>
      <c r="AL7">
        <v>408.08992530465201</v>
      </c>
      <c r="AM7">
        <v>413.41326028514197</v>
      </c>
      <c r="AN7">
        <v>412.40358461578001</v>
      </c>
      <c r="AO7">
        <v>412.52859443079501</v>
      </c>
      <c r="AP7">
        <v>412.553295092849</v>
      </c>
      <c r="AQ7">
        <v>412.118203507045</v>
      </c>
      <c r="AR7">
        <v>411.65762678840201</v>
      </c>
      <c r="AS7">
        <v>410.42077474844899</v>
      </c>
      <c r="AT7">
        <v>394.74047310752599</v>
      </c>
      <c r="AU7">
        <v>429.00086446302299</v>
      </c>
      <c r="AV7">
        <v>427.94372675999</v>
      </c>
      <c r="AW7">
        <v>427.97361296759101</v>
      </c>
      <c r="AX7">
        <v>427.99929537358901</v>
      </c>
      <c r="AY7">
        <v>428.03833480789899</v>
      </c>
      <c r="AZ7">
        <v>428.099731045743</v>
      </c>
      <c r="BA7">
        <v>427.20372580157402</v>
      </c>
      <c r="BB7">
        <v>415.35509347424698</v>
      </c>
      <c r="BC7">
        <v>506.287770350107</v>
      </c>
      <c r="BD7">
        <v>504.10894602316</v>
      </c>
      <c r="BE7">
        <v>504.31790797897401</v>
      </c>
      <c r="BF7">
        <v>504.36274750195003</v>
      </c>
      <c r="BG7">
        <v>504.36679233407301</v>
      </c>
      <c r="BH7">
        <v>504.43258386907797</v>
      </c>
      <c r="BI7">
        <v>502.47712838978498</v>
      </c>
      <c r="BJ7">
        <v>483.030521591254</v>
      </c>
      <c r="BK7">
        <v>509.986422979812</v>
      </c>
      <c r="BL7">
        <v>505.08429068103698</v>
      </c>
      <c r="BM7">
        <v>506.19649237586498</v>
      </c>
      <c r="BN7">
        <v>506.62400352637002</v>
      </c>
      <c r="BO7">
        <v>506.10270401859998</v>
      </c>
      <c r="BP7">
        <v>504.60358500683299</v>
      </c>
      <c r="BQ7">
        <v>501.03471944121998</v>
      </c>
      <c r="BR7">
        <v>474.53730199439798</v>
      </c>
      <c r="BS7">
        <v>397.19635995997902</v>
      </c>
      <c r="BT7">
        <v>395.07721427405602</v>
      </c>
      <c r="BU7">
        <v>396.94106825066302</v>
      </c>
      <c r="BV7">
        <v>397.075770936406</v>
      </c>
      <c r="BW7">
        <v>396.56815185102101</v>
      </c>
      <c r="BX7">
        <v>395.00182254266599</v>
      </c>
      <c r="BY7">
        <v>390.09134123164898</v>
      </c>
      <c r="BZ7">
        <v>382.61063662905701</v>
      </c>
      <c r="CA7">
        <v>357.66338419508298</v>
      </c>
      <c r="CB7">
        <v>354.61067943461097</v>
      </c>
      <c r="CC7">
        <v>360.41750655646399</v>
      </c>
      <c r="CD7">
        <v>359.09754431436397</v>
      </c>
      <c r="CE7">
        <v>356.38851556352199</v>
      </c>
      <c r="CF7">
        <v>352.61257037837697</v>
      </c>
      <c r="CG7">
        <v>349.191131032356</v>
      </c>
      <c r="CH7">
        <v>333.403917767895</v>
      </c>
      <c r="CI7">
        <v>353.050427743971</v>
      </c>
      <c r="CJ7">
        <v>353.04544233863697</v>
      </c>
      <c r="CK7">
        <v>353.78887310796898</v>
      </c>
      <c r="CL7">
        <v>353.31711521850502</v>
      </c>
      <c r="CM7">
        <v>352.39773948963199</v>
      </c>
      <c r="CN7">
        <v>350.84108068300702</v>
      </c>
      <c r="CO7">
        <v>347.346764382689</v>
      </c>
      <c r="CP7">
        <v>335.73576317091801</v>
      </c>
    </row>
    <row r="9" spans="1:94" x14ac:dyDescent="0.25">
      <c r="A9" s="7" t="s">
        <v>193</v>
      </c>
      <c r="B9" s="7"/>
      <c r="C9" s="1">
        <v>0.5</v>
      </c>
      <c r="D9" s="1">
        <v>0.3</v>
      </c>
      <c r="E9" s="1">
        <v>0.7</v>
      </c>
      <c r="F9" s="1">
        <v>0.8</v>
      </c>
      <c r="G9" s="1">
        <v>0.7</v>
      </c>
      <c r="H9" s="1">
        <v>0.6</v>
      </c>
      <c r="I9" s="1">
        <v>0.5</v>
      </c>
      <c r="J9" s="1">
        <v>0.4</v>
      </c>
      <c r="K9" s="1">
        <v>0.3</v>
      </c>
      <c r="L9" s="1">
        <v>0.2</v>
      </c>
      <c r="M9" s="1">
        <v>0.1</v>
      </c>
      <c r="N9" s="1">
        <v>0.1</v>
      </c>
      <c r="O9" s="1">
        <v>349.51486206054602</v>
      </c>
      <c r="P9" s="1">
        <v>348.18911743164</v>
      </c>
      <c r="Q9" s="1">
        <v>349.04928588867102</v>
      </c>
      <c r="R9" s="1">
        <v>349.30874633789</v>
      </c>
      <c r="S9" s="1">
        <v>348.59042358398398</v>
      </c>
      <c r="T9" s="1">
        <v>346.76669311523398</v>
      </c>
      <c r="U9" s="1">
        <v>342.08331298828102</v>
      </c>
      <c r="V9" s="1">
        <v>329.22961425781199</v>
      </c>
      <c r="W9" s="1">
        <v>375.65643310546801</v>
      </c>
      <c r="X9" s="1">
        <v>373.88562011718699</v>
      </c>
      <c r="Y9" s="1">
        <v>374.523345947265</v>
      </c>
      <c r="Z9" s="1">
        <v>374.46414184570301</v>
      </c>
      <c r="AA9" s="1">
        <v>374.13168334960898</v>
      </c>
      <c r="AB9" s="1">
        <v>372.96398925781199</v>
      </c>
      <c r="AC9" s="1">
        <v>370.74176025390602</v>
      </c>
      <c r="AD9" s="1">
        <v>370.28790283203102</v>
      </c>
      <c r="AE9" s="1">
        <v>432.93682861328102</v>
      </c>
      <c r="AF9" s="1">
        <v>428.80618286132801</v>
      </c>
      <c r="AG9" s="1">
        <v>429.63735961914</v>
      </c>
      <c r="AH9" s="1">
        <v>429.47286987304602</v>
      </c>
      <c r="AI9" s="1">
        <v>429.25347900390602</v>
      </c>
      <c r="AJ9" s="1">
        <v>427.94763183593699</v>
      </c>
      <c r="AK9" s="1">
        <v>426.177001953125</v>
      </c>
      <c r="AL9" s="1">
        <v>408.21990966796801</v>
      </c>
      <c r="AM9" s="1">
        <v>408.91644287109301</v>
      </c>
      <c r="AN9" s="1">
        <v>408.18307495117102</v>
      </c>
      <c r="AO9" s="1">
        <v>408.30902099609301</v>
      </c>
      <c r="AP9" s="1">
        <v>408.37292480468699</v>
      </c>
      <c r="AQ9" s="1">
        <v>408.40145874023398</v>
      </c>
      <c r="AR9" s="1">
        <v>408.32849121093699</v>
      </c>
      <c r="AS9" s="1">
        <v>407.36553955078102</v>
      </c>
      <c r="AT9" s="1">
        <v>392.34146118164</v>
      </c>
      <c r="AU9" s="1">
        <v>401.89593505859301</v>
      </c>
      <c r="AV9" s="1">
        <v>401.287506103515</v>
      </c>
      <c r="AW9" s="1">
        <v>401.47506713867102</v>
      </c>
      <c r="AX9" s="1">
        <v>401.3642578125</v>
      </c>
      <c r="AY9" s="1">
        <v>401.430419921875</v>
      </c>
      <c r="AZ9" s="1">
        <v>401.33163452148398</v>
      </c>
      <c r="BA9" s="1">
        <v>400.68084716796801</v>
      </c>
      <c r="BB9" s="1">
        <v>391.29684448242102</v>
      </c>
      <c r="BC9" s="1">
        <v>453.31109619140602</v>
      </c>
      <c r="BD9" s="1">
        <v>451.56134033203102</v>
      </c>
      <c r="BE9" s="1">
        <v>451.70910644531199</v>
      </c>
      <c r="BF9" s="1">
        <v>451.89318847656199</v>
      </c>
      <c r="BG9" s="1">
        <v>451.87646484375</v>
      </c>
      <c r="BH9" s="1">
        <v>451.81381225585898</v>
      </c>
      <c r="BI9" s="1">
        <v>450.67257690429602</v>
      </c>
      <c r="BJ9" s="1">
        <v>437.32434082031199</v>
      </c>
      <c r="BK9" s="1">
        <v>446.81103515625</v>
      </c>
      <c r="BL9" s="1">
        <v>444.40863037109301</v>
      </c>
      <c r="BM9" s="1">
        <v>444.79010009765602</v>
      </c>
      <c r="BN9" s="1">
        <v>445.18820190429602</v>
      </c>
      <c r="BO9" s="1">
        <v>444.67938232421801</v>
      </c>
      <c r="BP9" s="1">
        <v>443.99102783203102</v>
      </c>
      <c r="BQ9" s="1">
        <v>441.64166259765602</v>
      </c>
      <c r="BR9" s="1">
        <v>423.838623046875</v>
      </c>
      <c r="BS9" s="1">
        <v>362.234619140625</v>
      </c>
      <c r="BT9" s="1">
        <v>361.42901611328102</v>
      </c>
      <c r="BU9" s="1">
        <v>362.64926147460898</v>
      </c>
      <c r="BV9" s="1">
        <v>362.395904541015</v>
      </c>
      <c r="BW9" s="1">
        <v>362.11117553710898</v>
      </c>
      <c r="BX9" s="1">
        <v>361.05987548828102</v>
      </c>
      <c r="BY9" s="1">
        <v>357.83428955078102</v>
      </c>
      <c r="BZ9" s="1">
        <v>353.11328125</v>
      </c>
      <c r="CA9" s="1">
        <v>335.25817871093699</v>
      </c>
      <c r="CB9" s="1">
        <v>333.3056640625</v>
      </c>
      <c r="CC9" s="1">
        <v>336.55593872070301</v>
      </c>
      <c r="CD9" s="1">
        <v>335.42922973632801</v>
      </c>
      <c r="CE9" s="1">
        <v>333.47454833984301</v>
      </c>
      <c r="CF9" s="1">
        <v>330.98260498046801</v>
      </c>
      <c r="CG9" s="1">
        <v>328.85134887695301</v>
      </c>
      <c r="CH9" s="1">
        <v>318.87469482421801</v>
      </c>
      <c r="CI9" s="1">
        <v>327.56335449218699</v>
      </c>
      <c r="CJ9" s="1">
        <v>327.91513061523398</v>
      </c>
      <c r="CK9" s="1">
        <v>328.45782470703102</v>
      </c>
      <c r="CL9" s="1">
        <v>328.07952880859301</v>
      </c>
      <c r="CM9" s="1">
        <v>327.48907470703102</v>
      </c>
      <c r="CN9" s="1">
        <v>326.57470703125</v>
      </c>
      <c r="CO9" s="1">
        <v>324.20367431640602</v>
      </c>
      <c r="CP9" s="1">
        <v>317.80120849609301</v>
      </c>
    </row>
    <row r="10" spans="1:94" x14ac:dyDescent="0.25">
      <c r="A10" s="7"/>
      <c r="B10" s="7"/>
      <c r="C10" s="1">
        <v>0.4</v>
      </c>
      <c r="D10" s="1">
        <v>0.6</v>
      </c>
      <c r="E10" s="1">
        <v>0.5</v>
      </c>
      <c r="F10" s="1">
        <v>0.5</v>
      </c>
      <c r="G10" s="1">
        <v>0.4</v>
      </c>
      <c r="H10" s="1">
        <v>0.4</v>
      </c>
      <c r="I10" s="1">
        <v>0.3</v>
      </c>
      <c r="J10" s="1">
        <v>0.3</v>
      </c>
      <c r="K10" s="1">
        <v>0.2</v>
      </c>
      <c r="L10" s="1">
        <v>0.2</v>
      </c>
      <c r="M10" s="1">
        <v>0.1</v>
      </c>
      <c r="N10" s="1">
        <v>0.1</v>
      </c>
      <c r="O10" s="1">
        <v>325.11679077148398</v>
      </c>
      <c r="P10" s="1">
        <v>324.05187988281199</v>
      </c>
      <c r="Q10" s="1">
        <v>324.72457885742102</v>
      </c>
      <c r="R10" s="1">
        <v>325.03079223632801</v>
      </c>
      <c r="S10" s="1">
        <v>324.55993652343699</v>
      </c>
      <c r="T10" s="1">
        <v>323.41888427734301</v>
      </c>
      <c r="U10" s="1">
        <v>320.74252319335898</v>
      </c>
      <c r="V10" s="1">
        <v>313.02490234375</v>
      </c>
      <c r="W10" s="1">
        <v>339.20220947265602</v>
      </c>
      <c r="X10" s="1">
        <v>338.07550048828102</v>
      </c>
      <c r="Y10" s="1">
        <v>338.62243652343699</v>
      </c>
      <c r="Z10" s="1">
        <v>338.55130004882801</v>
      </c>
      <c r="AA10" s="1">
        <v>338.45397949218699</v>
      </c>
      <c r="AB10" s="1">
        <v>337.62463378906199</v>
      </c>
      <c r="AC10" s="1">
        <v>336.35903930664</v>
      </c>
      <c r="AD10" s="1">
        <v>336.851470947265</v>
      </c>
      <c r="AE10" s="1">
        <v>374.83258056640602</v>
      </c>
      <c r="AF10" s="1">
        <v>372.02566528320301</v>
      </c>
      <c r="AG10" s="1">
        <v>372.91891479492102</v>
      </c>
      <c r="AH10" s="1">
        <v>372.82318115234301</v>
      </c>
      <c r="AI10" s="1">
        <v>372.564849853515</v>
      </c>
      <c r="AJ10" s="1">
        <v>371.64239501953102</v>
      </c>
      <c r="AK10" s="1">
        <v>370.55435180664</v>
      </c>
      <c r="AL10" s="1">
        <v>359.88232421875</v>
      </c>
      <c r="AM10" s="1">
        <v>366.62081909179602</v>
      </c>
      <c r="AN10" s="1">
        <v>366.0390625</v>
      </c>
      <c r="AO10" s="1">
        <v>366.249755859375</v>
      </c>
      <c r="AP10" s="1">
        <v>366.287841796875</v>
      </c>
      <c r="AQ10" s="1">
        <v>366.13726806640602</v>
      </c>
      <c r="AR10" s="1">
        <v>365.80987548828102</v>
      </c>
      <c r="AS10" s="1">
        <v>365.42098999023398</v>
      </c>
      <c r="AT10" s="1">
        <v>357.46533203125</v>
      </c>
      <c r="AU10" s="1">
        <v>374.95147705078102</v>
      </c>
      <c r="AV10" s="1">
        <v>374.37921142578102</v>
      </c>
      <c r="AW10" s="1">
        <v>374.64593505859301</v>
      </c>
      <c r="AX10" s="1">
        <v>374.59948730468699</v>
      </c>
      <c r="AY10" s="1">
        <v>374.53024291992102</v>
      </c>
      <c r="AZ10" s="1">
        <v>374.488677978515</v>
      </c>
      <c r="BA10" s="1">
        <v>374.05609130859301</v>
      </c>
      <c r="BB10" s="1">
        <v>367.317626953125</v>
      </c>
      <c r="BC10" s="1">
        <v>401.36474609375</v>
      </c>
      <c r="BD10" s="1">
        <v>399.77233886718699</v>
      </c>
      <c r="BE10" s="1">
        <v>400.13934326171801</v>
      </c>
      <c r="BF10" s="1">
        <v>400.13488769531199</v>
      </c>
      <c r="BG10" s="1">
        <v>400.23739624023398</v>
      </c>
      <c r="BH10" s="1">
        <v>400.01773071289</v>
      </c>
      <c r="BI10" s="1">
        <v>399.43124389648398</v>
      </c>
      <c r="BJ10" s="1">
        <v>391.30633544921801</v>
      </c>
      <c r="BK10" s="1">
        <v>397.01239013671801</v>
      </c>
      <c r="BL10" s="1">
        <v>394.47863769531199</v>
      </c>
      <c r="BM10" s="1">
        <v>394.98931884765602</v>
      </c>
      <c r="BN10" s="1">
        <v>395.59356689453102</v>
      </c>
      <c r="BO10" s="1">
        <v>395.15783691406199</v>
      </c>
      <c r="BP10" s="1">
        <v>394.46072387695301</v>
      </c>
      <c r="BQ10" s="1">
        <v>392.67306518554602</v>
      </c>
      <c r="BR10" s="1">
        <v>380.70959472656199</v>
      </c>
      <c r="BS10" s="1">
        <v>339.81750488281199</v>
      </c>
      <c r="BT10" s="1">
        <v>338.54861450195301</v>
      </c>
      <c r="BU10" s="1">
        <v>339.99133300781199</v>
      </c>
      <c r="BV10" s="1">
        <v>339.61355590820301</v>
      </c>
      <c r="BW10" s="1">
        <v>339.38116455078102</v>
      </c>
      <c r="BX10" s="1">
        <v>338.57577514648398</v>
      </c>
      <c r="BY10" s="1">
        <v>336.08038330078102</v>
      </c>
      <c r="BZ10" s="1">
        <v>333.53756713867102</v>
      </c>
      <c r="CA10" s="1">
        <v>321.05920410156199</v>
      </c>
      <c r="CB10" s="1">
        <v>317.617095947265</v>
      </c>
      <c r="CC10" s="1">
        <v>321.381256103515</v>
      </c>
      <c r="CD10" s="1">
        <v>320.46499633789</v>
      </c>
      <c r="CE10" s="1">
        <v>318.90686035156199</v>
      </c>
      <c r="CF10" s="1">
        <v>317.02819824218699</v>
      </c>
      <c r="CG10" s="1">
        <v>315.18167114257801</v>
      </c>
      <c r="CH10" s="1">
        <v>310.80578613281199</v>
      </c>
      <c r="CI10" s="1">
        <v>318.09387207031199</v>
      </c>
      <c r="CJ10" s="1">
        <v>317.914794921875</v>
      </c>
      <c r="CK10" s="1">
        <v>318.579498291015</v>
      </c>
      <c r="CL10" s="1">
        <v>318.19818115234301</v>
      </c>
      <c r="CM10" s="1">
        <v>317.65008544921801</v>
      </c>
      <c r="CN10" s="1">
        <v>316.52606201171801</v>
      </c>
      <c r="CO10" s="1">
        <v>315.02746582031199</v>
      </c>
      <c r="CP10" s="1">
        <v>309.87741088867102</v>
      </c>
    </row>
    <row r="11" spans="1:94" x14ac:dyDescent="0.25">
      <c r="A11" s="7"/>
      <c r="B11" s="7"/>
      <c r="C11" s="1">
        <v>0.6</v>
      </c>
      <c r="D11" s="1">
        <v>0.4</v>
      </c>
      <c r="E11" s="1">
        <v>0.8</v>
      </c>
      <c r="F11" s="1">
        <v>0.6</v>
      </c>
      <c r="G11" s="1">
        <v>0.6</v>
      </c>
      <c r="H11" s="1">
        <v>0.5</v>
      </c>
      <c r="I11" s="1">
        <v>0.5</v>
      </c>
      <c r="J11" s="1">
        <v>0.4</v>
      </c>
      <c r="K11" s="1">
        <v>0.4</v>
      </c>
      <c r="L11" s="1">
        <v>0.3</v>
      </c>
      <c r="M11" s="1">
        <v>0.2</v>
      </c>
      <c r="N11" s="1">
        <v>0.2</v>
      </c>
      <c r="O11" s="1">
        <v>333.38900756835898</v>
      </c>
      <c r="P11" s="1">
        <v>332.29159545898398</v>
      </c>
      <c r="Q11" s="1">
        <v>333.04165649414</v>
      </c>
      <c r="R11" s="1">
        <v>333.324615478515</v>
      </c>
      <c r="S11" s="1">
        <v>332.80795288085898</v>
      </c>
      <c r="T11" s="1">
        <v>331.43551635742102</v>
      </c>
      <c r="U11" s="1">
        <v>328.07052612304602</v>
      </c>
      <c r="V11" s="1">
        <v>318.57232666015602</v>
      </c>
      <c r="W11" s="1">
        <v>357.52734375</v>
      </c>
      <c r="X11" s="1">
        <v>355.94284057617102</v>
      </c>
      <c r="Y11" s="1">
        <v>356.58724975585898</v>
      </c>
      <c r="Z11" s="1">
        <v>356.53082275390602</v>
      </c>
      <c r="AA11" s="1">
        <v>356.28732299804602</v>
      </c>
      <c r="AB11" s="1">
        <v>355.21945190429602</v>
      </c>
      <c r="AC11" s="1">
        <v>353.32156372070301</v>
      </c>
      <c r="AD11" s="1">
        <v>354.06234741210898</v>
      </c>
      <c r="AE11" s="1">
        <v>409.07769775390602</v>
      </c>
      <c r="AF11" s="1">
        <v>405.38348388671801</v>
      </c>
      <c r="AG11" s="1">
        <v>406.34558105468699</v>
      </c>
      <c r="AH11" s="1">
        <v>406.22857666015602</v>
      </c>
      <c r="AI11" s="1">
        <v>405.91635131835898</v>
      </c>
      <c r="AJ11" s="1">
        <v>404.66558837890602</v>
      </c>
      <c r="AK11" s="1">
        <v>403.23995971679602</v>
      </c>
      <c r="AL11" s="1">
        <v>388.04119873046801</v>
      </c>
      <c r="AM11" s="1">
        <v>396.968017578125</v>
      </c>
      <c r="AN11" s="1">
        <v>396.10263061523398</v>
      </c>
      <c r="AO11" s="1">
        <v>396.33316040039</v>
      </c>
      <c r="AP11" s="1">
        <v>396.30285644531199</v>
      </c>
      <c r="AQ11" s="1">
        <v>396.17169189453102</v>
      </c>
      <c r="AR11" s="1">
        <v>395.90805053710898</v>
      </c>
      <c r="AS11" s="1">
        <v>395.12673950195301</v>
      </c>
      <c r="AT11" s="1">
        <v>383.336669921875</v>
      </c>
      <c r="AU11" s="1">
        <v>403.42501831054602</v>
      </c>
      <c r="AV11" s="1">
        <v>402.84033203125</v>
      </c>
      <c r="AW11" s="1">
        <v>402.86163330078102</v>
      </c>
      <c r="AX11" s="1">
        <v>402.73214721679602</v>
      </c>
      <c r="AY11" s="1">
        <v>402.71453857421801</v>
      </c>
      <c r="AZ11" s="1">
        <v>402.82473754882801</v>
      </c>
      <c r="BA11" s="1">
        <v>402.17599487304602</v>
      </c>
      <c r="BB11" s="1">
        <v>393.11386108398398</v>
      </c>
      <c r="BC11" s="1">
        <v>482.84701538085898</v>
      </c>
      <c r="BD11" s="1">
        <v>480.35986328125</v>
      </c>
      <c r="BE11" s="1">
        <v>480.82177734375</v>
      </c>
      <c r="BF11" s="1">
        <v>481.027587890625</v>
      </c>
      <c r="BG11" s="1">
        <v>481.11676025390602</v>
      </c>
      <c r="BH11" s="1">
        <v>480.91607666015602</v>
      </c>
      <c r="BI11" s="1">
        <v>479.28619384765602</v>
      </c>
      <c r="BJ11" s="1">
        <v>463.55969238281199</v>
      </c>
      <c r="BK11" s="1">
        <v>468.26306152343699</v>
      </c>
      <c r="BL11" s="1">
        <v>464.84530639648398</v>
      </c>
      <c r="BM11" s="1">
        <v>465.28204345703102</v>
      </c>
      <c r="BN11" s="1">
        <v>465.82879638671801</v>
      </c>
      <c r="BO11" s="1">
        <v>465.46893310546801</v>
      </c>
      <c r="BP11" s="1">
        <v>464.4482421875</v>
      </c>
      <c r="BQ11" s="1">
        <v>461.63162231445301</v>
      </c>
      <c r="BR11" s="1">
        <v>440.75469970703102</v>
      </c>
      <c r="BS11" s="1">
        <v>377.95474243164</v>
      </c>
      <c r="BT11" s="1">
        <v>376.48406982421801</v>
      </c>
      <c r="BU11" s="1">
        <v>378.07769775390602</v>
      </c>
      <c r="BV11" s="1">
        <v>377.818115234375</v>
      </c>
      <c r="BW11" s="1">
        <v>377.50796508789</v>
      </c>
      <c r="BX11" s="1">
        <v>376.22125244140602</v>
      </c>
      <c r="BY11" s="1">
        <v>372.17465209960898</v>
      </c>
      <c r="BZ11" s="1">
        <v>366.21746826171801</v>
      </c>
      <c r="CA11" s="1">
        <v>345.76354980468699</v>
      </c>
      <c r="CB11" s="1">
        <v>342.91549682617102</v>
      </c>
      <c r="CC11" s="1">
        <v>347.35736083984301</v>
      </c>
      <c r="CD11" s="1">
        <v>346.11218261718699</v>
      </c>
      <c r="CE11" s="1">
        <v>343.82455444335898</v>
      </c>
      <c r="CF11" s="1">
        <v>340.66345214843699</v>
      </c>
      <c r="CG11" s="1">
        <v>337.68429565429602</v>
      </c>
      <c r="CH11" s="1">
        <v>325.4404296875</v>
      </c>
      <c r="CI11" s="1">
        <v>340.29315185546801</v>
      </c>
      <c r="CJ11" s="1">
        <v>340.333740234375</v>
      </c>
      <c r="CK11" s="1">
        <v>341.08859252929602</v>
      </c>
      <c r="CL11" s="1">
        <v>340.60543823242102</v>
      </c>
      <c r="CM11" s="1">
        <v>339.75360107421801</v>
      </c>
      <c r="CN11" s="1">
        <v>338.30380249023398</v>
      </c>
      <c r="CO11" s="1">
        <v>335.37585449218699</v>
      </c>
      <c r="CP11" s="1">
        <v>326.24685668945301</v>
      </c>
    </row>
    <row r="12" spans="1:94" x14ac:dyDescent="0.25">
      <c r="A12" s="7"/>
      <c r="B12" s="7"/>
      <c r="C12" s="1">
        <v>0.7</v>
      </c>
      <c r="D12" s="1">
        <v>0.2</v>
      </c>
      <c r="E12" s="1">
        <v>0.9</v>
      </c>
      <c r="F12" s="1">
        <v>0.7</v>
      </c>
      <c r="G12" s="1">
        <v>0.7</v>
      </c>
      <c r="H12" s="1">
        <v>0.6</v>
      </c>
      <c r="I12" s="1">
        <v>0.6</v>
      </c>
      <c r="J12" s="1">
        <v>0.5</v>
      </c>
      <c r="K12" s="1">
        <v>0.5</v>
      </c>
      <c r="L12" s="1">
        <v>0.4</v>
      </c>
      <c r="M12" s="1">
        <v>0.3</v>
      </c>
      <c r="N12" s="1">
        <v>0.3</v>
      </c>
      <c r="O12" s="1">
        <v>344.37365722656199</v>
      </c>
      <c r="P12" s="1">
        <v>343.38064575195301</v>
      </c>
      <c r="Q12" s="1">
        <v>344.24237060546801</v>
      </c>
      <c r="R12" s="1">
        <v>344.49206542968699</v>
      </c>
      <c r="S12" s="1">
        <v>343.83966064453102</v>
      </c>
      <c r="T12" s="1">
        <v>342.26910400390602</v>
      </c>
      <c r="U12" s="1">
        <v>337.97409057617102</v>
      </c>
      <c r="V12" s="1">
        <v>326.36315917968699</v>
      </c>
      <c r="W12" s="1">
        <v>376.98382568359301</v>
      </c>
      <c r="X12" s="1">
        <v>375.18167114257801</v>
      </c>
      <c r="Y12" s="1">
        <v>375.80279541015602</v>
      </c>
      <c r="Z12" s="1">
        <v>375.81008911132801</v>
      </c>
      <c r="AA12" s="1">
        <v>375.411041259765</v>
      </c>
      <c r="AB12" s="1">
        <v>374.2412109375</v>
      </c>
      <c r="AC12" s="1">
        <v>371.87884521484301</v>
      </c>
      <c r="AD12" s="1">
        <v>371.78610229492102</v>
      </c>
      <c r="AE12" s="1">
        <v>447.72302246093699</v>
      </c>
      <c r="AF12" s="1">
        <v>443.29919433593699</v>
      </c>
      <c r="AG12" s="1">
        <v>444.12725830078102</v>
      </c>
      <c r="AH12" s="1">
        <v>444.03509521484301</v>
      </c>
      <c r="AI12" s="1">
        <v>443.69549560546801</v>
      </c>
      <c r="AJ12" s="1">
        <v>442.25421142578102</v>
      </c>
      <c r="AK12" s="1">
        <v>440.25305175781199</v>
      </c>
      <c r="AL12" s="1">
        <v>420.30841064453102</v>
      </c>
      <c r="AM12" s="1">
        <v>424.25433349609301</v>
      </c>
      <c r="AN12" s="1">
        <v>423.09359741210898</v>
      </c>
      <c r="AO12" s="1">
        <v>423.278717041015</v>
      </c>
      <c r="AP12" s="1">
        <v>423.21542358398398</v>
      </c>
      <c r="AQ12" s="1">
        <v>423.05895996093699</v>
      </c>
      <c r="AR12" s="1">
        <v>422.786529541015</v>
      </c>
      <c r="AS12" s="1">
        <v>421.46957397460898</v>
      </c>
      <c r="AT12" s="1">
        <v>405.18167114257801</v>
      </c>
      <c r="AU12" s="1">
        <v>430.71566772460898</v>
      </c>
      <c r="AV12" s="1">
        <v>430.19876098632801</v>
      </c>
      <c r="AW12" s="1">
        <v>429.99887084960898</v>
      </c>
      <c r="AX12" s="1">
        <v>429.85260009765602</v>
      </c>
      <c r="AY12" s="1">
        <v>429.89978027343699</v>
      </c>
      <c r="AZ12" s="1">
        <v>430.02404785156199</v>
      </c>
      <c r="BA12" s="1">
        <v>429.13626098632801</v>
      </c>
      <c r="BB12" s="1">
        <v>417.55831909179602</v>
      </c>
      <c r="BC12" s="1">
        <v>542.10552978515602</v>
      </c>
      <c r="BD12" s="1">
        <v>539.13531494140602</v>
      </c>
      <c r="BE12" s="1">
        <v>539.37078857421795</v>
      </c>
      <c r="BF12" s="1">
        <v>539.57238769531205</v>
      </c>
      <c r="BG12" s="1">
        <v>539.72351074218705</v>
      </c>
      <c r="BH12" s="1">
        <v>539.73858642578102</v>
      </c>
      <c r="BI12" s="1">
        <v>537.07806396484295</v>
      </c>
      <c r="BJ12" s="1">
        <v>514.423828125</v>
      </c>
      <c r="BK12" s="1">
        <v>549.663818359375</v>
      </c>
      <c r="BL12" s="1">
        <v>545.41339111328102</v>
      </c>
      <c r="BM12" s="1">
        <v>545.856201171875</v>
      </c>
      <c r="BN12" s="1">
        <v>546.26495361328102</v>
      </c>
      <c r="BO12" s="1">
        <v>545.85577392578102</v>
      </c>
      <c r="BP12" s="1">
        <v>544.87030029296795</v>
      </c>
      <c r="BQ12" s="1">
        <v>540.846923828125</v>
      </c>
      <c r="BR12" s="1">
        <v>509.77517700195301</v>
      </c>
      <c r="BS12" s="1">
        <v>421.558502197265</v>
      </c>
      <c r="BT12" s="1">
        <v>420.388427734375</v>
      </c>
      <c r="BU12" s="1">
        <v>421.785888671875</v>
      </c>
      <c r="BV12" s="1">
        <v>421.73501586914</v>
      </c>
      <c r="BW12" s="1">
        <v>421.188873291015</v>
      </c>
      <c r="BX12" s="1">
        <v>419.79812622070301</v>
      </c>
      <c r="BY12" s="1">
        <v>414.21261596679602</v>
      </c>
      <c r="BZ12" s="1">
        <v>403.818603515625</v>
      </c>
      <c r="CA12" s="1">
        <v>374.41146850585898</v>
      </c>
      <c r="CB12" s="1">
        <v>374.31857299804602</v>
      </c>
      <c r="CC12" s="1">
        <v>378.55383300781199</v>
      </c>
      <c r="CD12" s="1">
        <v>376.96304321289</v>
      </c>
      <c r="CE12" s="1">
        <v>373.99337768554602</v>
      </c>
      <c r="CF12" s="1">
        <v>369.70700073242102</v>
      </c>
      <c r="CG12" s="1">
        <v>365.782470703125</v>
      </c>
      <c r="CH12" s="1">
        <v>342.33621215820301</v>
      </c>
      <c r="CI12" s="1">
        <v>365.95639038085898</v>
      </c>
      <c r="CJ12" s="1">
        <v>366.42147827148398</v>
      </c>
      <c r="CK12" s="1">
        <v>367.27020263671801</v>
      </c>
      <c r="CL12" s="1">
        <v>366.81478881835898</v>
      </c>
      <c r="CM12" s="1">
        <v>365.69000244140602</v>
      </c>
      <c r="CN12" s="1">
        <v>363.95056152343699</v>
      </c>
      <c r="CO12" s="1">
        <v>359.598388671875</v>
      </c>
      <c r="CP12" s="1">
        <v>345.99868774414</v>
      </c>
    </row>
    <row r="13" spans="1:94" x14ac:dyDescent="0.25">
      <c r="A13" s="7"/>
      <c r="B13" s="7"/>
      <c r="C13" s="1">
        <v>0.3</v>
      </c>
      <c r="D13" s="1">
        <v>0.5</v>
      </c>
      <c r="E13" s="1">
        <v>0.6</v>
      </c>
      <c r="F13" s="1">
        <v>0.7</v>
      </c>
      <c r="G13" s="1">
        <v>0.6</v>
      </c>
      <c r="H13" s="1">
        <v>0.6</v>
      </c>
      <c r="I13" s="1">
        <v>0.5</v>
      </c>
      <c r="J13" s="1">
        <v>0.5</v>
      </c>
      <c r="K13" s="1">
        <v>0.4</v>
      </c>
      <c r="L13" s="1">
        <v>0.4</v>
      </c>
      <c r="M13" s="1">
        <v>0.3</v>
      </c>
      <c r="N13" s="1">
        <v>0.3</v>
      </c>
      <c r="O13" s="1">
        <v>348.06527709960898</v>
      </c>
      <c r="P13" s="1">
        <v>346.86898803710898</v>
      </c>
      <c r="Q13" s="1">
        <v>347.64572143554602</v>
      </c>
      <c r="R13" s="1">
        <v>347.85409545898398</v>
      </c>
      <c r="S13" s="1">
        <v>347.08709716796801</v>
      </c>
      <c r="T13" s="1">
        <v>345.25262451171801</v>
      </c>
      <c r="U13" s="1">
        <v>340.666900634765</v>
      </c>
      <c r="V13" s="1">
        <v>328.328521728515</v>
      </c>
      <c r="W13" s="1">
        <v>371.53866577148398</v>
      </c>
      <c r="X13" s="1">
        <v>369.85974121093699</v>
      </c>
      <c r="Y13" s="1">
        <v>370.38400268554602</v>
      </c>
      <c r="Z13" s="1">
        <v>370.39797973632801</v>
      </c>
      <c r="AA13" s="1">
        <v>370.07455444335898</v>
      </c>
      <c r="AB13" s="1">
        <v>369.01461791992102</v>
      </c>
      <c r="AC13" s="1">
        <v>366.97637939453102</v>
      </c>
      <c r="AD13" s="1">
        <v>366.51107788085898</v>
      </c>
      <c r="AE13" s="1">
        <v>433.62188720703102</v>
      </c>
      <c r="AF13" s="1">
        <v>428.86901855468699</v>
      </c>
      <c r="AG13" s="1">
        <v>430.03982543945301</v>
      </c>
      <c r="AH13" s="1">
        <v>429.81549072265602</v>
      </c>
      <c r="AI13" s="1">
        <v>429.56036376953102</v>
      </c>
      <c r="AJ13" s="1">
        <v>428.27084350585898</v>
      </c>
      <c r="AK13" s="1">
        <v>426.54254150390602</v>
      </c>
      <c r="AL13" s="1">
        <v>407.999908447265</v>
      </c>
      <c r="AM13" s="1">
        <v>415.80908203125</v>
      </c>
      <c r="AN13" s="1">
        <v>414.78234863281199</v>
      </c>
      <c r="AO13" s="1">
        <v>414.89855957031199</v>
      </c>
      <c r="AP13" s="1">
        <v>414.82723999023398</v>
      </c>
      <c r="AQ13" s="1">
        <v>414.561431884765</v>
      </c>
      <c r="AR13" s="1">
        <v>414.19226074218699</v>
      </c>
      <c r="AS13" s="1">
        <v>413.042724609375</v>
      </c>
      <c r="AT13" s="1">
        <v>397.81179809570301</v>
      </c>
      <c r="AU13" s="1">
        <v>428.99938964843699</v>
      </c>
      <c r="AV13" s="1">
        <v>428.186279296875</v>
      </c>
      <c r="AW13" s="1">
        <v>428.22921752929602</v>
      </c>
      <c r="AX13" s="1">
        <v>428.05401611328102</v>
      </c>
      <c r="AY13" s="1">
        <v>428.21060180664</v>
      </c>
      <c r="AZ13" s="1">
        <v>428.21591186523398</v>
      </c>
      <c r="BA13" s="1">
        <v>427.31918334960898</v>
      </c>
      <c r="BB13" s="1">
        <v>415.54025268554602</v>
      </c>
      <c r="BC13" s="1">
        <v>507.91467285156199</v>
      </c>
      <c r="BD13" s="1">
        <v>505.67074584960898</v>
      </c>
      <c r="BE13" s="1">
        <v>505.69937133789</v>
      </c>
      <c r="BF13" s="1">
        <v>505.81304931640602</v>
      </c>
      <c r="BG13" s="1">
        <v>505.89929199218699</v>
      </c>
      <c r="BH13" s="1">
        <v>505.93673706054602</v>
      </c>
      <c r="BI13" s="1">
        <v>503.88690185546801</v>
      </c>
      <c r="BJ13" s="1">
        <v>484.147857666015</v>
      </c>
      <c r="BK13" s="1">
        <v>520.46380615234295</v>
      </c>
      <c r="BL13" s="1">
        <v>515.76959228515602</v>
      </c>
      <c r="BM13" s="1">
        <v>516.61901855468705</v>
      </c>
      <c r="BN13" s="1">
        <v>517.15905761718705</v>
      </c>
      <c r="BO13" s="1">
        <v>516.43414306640602</v>
      </c>
      <c r="BP13" s="1">
        <v>515.236083984375</v>
      </c>
      <c r="BQ13" s="1">
        <v>511.44931030273398</v>
      </c>
      <c r="BR13" s="1">
        <v>483.46633911132801</v>
      </c>
      <c r="BS13" s="1">
        <v>404.82534790039</v>
      </c>
      <c r="BT13" s="1">
        <v>402.61724853515602</v>
      </c>
      <c r="BU13" s="1">
        <v>404.59963989257801</v>
      </c>
      <c r="BV13" s="1">
        <v>404.62347412109301</v>
      </c>
      <c r="BW13" s="1">
        <v>404.01150512695301</v>
      </c>
      <c r="BX13" s="1">
        <v>402.27331542968699</v>
      </c>
      <c r="BY13" s="1">
        <v>396.77801513671801</v>
      </c>
      <c r="BZ13" s="1">
        <v>388.72540283203102</v>
      </c>
      <c r="CA13" s="1">
        <v>361.42633056640602</v>
      </c>
      <c r="CB13" s="1">
        <v>357.31204223632801</v>
      </c>
      <c r="CC13" s="1">
        <v>363.28244018554602</v>
      </c>
      <c r="CD13" s="1">
        <v>361.667877197265</v>
      </c>
      <c r="CE13" s="1">
        <v>358.661865234375</v>
      </c>
      <c r="CF13" s="1">
        <v>354.42361450195301</v>
      </c>
      <c r="CG13" s="1">
        <v>350.55349731445301</v>
      </c>
      <c r="CH13" s="1">
        <v>335.465240478515</v>
      </c>
      <c r="CI13" s="1">
        <v>354.32992553710898</v>
      </c>
      <c r="CJ13" s="1">
        <v>354.192291259765</v>
      </c>
      <c r="CK13" s="1">
        <v>355.28128051757801</v>
      </c>
      <c r="CL13" s="1">
        <v>354.6669921875</v>
      </c>
      <c r="CM13" s="1">
        <v>353.42333984375</v>
      </c>
      <c r="CN13" s="1">
        <v>351.60592651367102</v>
      </c>
      <c r="CO13" s="1">
        <v>347.91143798828102</v>
      </c>
      <c r="CP13" s="1">
        <v>336.001861572265</v>
      </c>
    </row>
    <row r="15" spans="1:94" x14ac:dyDescent="0.25">
      <c r="B15" t="s">
        <v>93</v>
      </c>
      <c r="C15" s="1">
        <f>C9-C3</f>
        <v>0</v>
      </c>
      <c r="D15" s="1">
        <f t="shared" ref="D15:AQ15" si="0">D9-D3</f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>
        <f t="shared" si="0"/>
        <v>0</v>
      </c>
      <c r="I15" s="1">
        <f t="shared" si="0"/>
        <v>0</v>
      </c>
      <c r="J15" s="1">
        <f t="shared" si="0"/>
        <v>0</v>
      </c>
      <c r="K15" s="1">
        <f t="shared" si="0"/>
        <v>0</v>
      </c>
      <c r="L15" s="1">
        <f t="shared" si="0"/>
        <v>0</v>
      </c>
      <c r="M15" s="1">
        <f t="shared" si="0"/>
        <v>0</v>
      </c>
      <c r="N15" s="1">
        <f t="shared" si="0"/>
        <v>0</v>
      </c>
      <c r="O15" s="1">
        <f t="shared" si="0"/>
        <v>0.64821543385500036</v>
      </c>
      <c r="P15" s="1">
        <f t="shared" si="0"/>
        <v>0.89345298292198549</v>
      </c>
      <c r="Q15" s="1">
        <f t="shared" si="0"/>
        <v>0.67692636654004446</v>
      </c>
      <c r="R15" s="1">
        <f t="shared" si="0"/>
        <v>0.7372818345260157</v>
      </c>
      <c r="S15" s="1">
        <f t="shared" si="0"/>
        <v>0.71562662830399404</v>
      </c>
      <c r="T15" s="1">
        <f t="shared" si="0"/>
        <v>0.84457975920798845</v>
      </c>
      <c r="U15" s="1">
        <f t="shared" si="0"/>
        <v>0.83448039230802351</v>
      </c>
      <c r="V15" s="1">
        <f t="shared" si="0"/>
        <v>1.0059502144829935</v>
      </c>
      <c r="W15" s="1">
        <f t="shared" si="0"/>
        <v>-0.10318662626298192</v>
      </c>
      <c r="X15" s="1">
        <f t="shared" si="0"/>
        <v>9.5997089823981696E-2</v>
      </c>
      <c r="Y15" s="1">
        <f t="shared" si="0"/>
        <v>5.0840111049978987E-2</v>
      </c>
      <c r="Z15" s="1">
        <f t="shared" si="0"/>
        <v>-0.12610208871399209</v>
      </c>
      <c r="AA15" s="1">
        <f t="shared" si="0"/>
        <v>-1.4853233281030498E-2</v>
      </c>
      <c r="AB15" s="1">
        <f t="shared" si="0"/>
        <v>3.2373453842978961E-2</v>
      </c>
      <c r="AC15" s="1">
        <f t="shared" si="0"/>
        <v>0.24896883467602038</v>
      </c>
      <c r="AD15" s="1">
        <f t="shared" si="0"/>
        <v>-0.51650769783799433</v>
      </c>
      <c r="AE15" s="1">
        <f t="shared" si="0"/>
        <v>-4.9543963189519786</v>
      </c>
      <c r="AF15" s="1">
        <f t="shared" si="0"/>
        <v>-4.3262876013699838</v>
      </c>
      <c r="AG15" s="1">
        <f t="shared" si="0"/>
        <v>-4.4801372398940202</v>
      </c>
      <c r="AH15" s="1">
        <f t="shared" si="0"/>
        <v>-4.8062490467339671</v>
      </c>
      <c r="AI15" s="1">
        <f t="shared" si="0"/>
        <v>-4.4477364481339805</v>
      </c>
      <c r="AJ15" s="1">
        <f t="shared" si="0"/>
        <v>-4.2865334023260289</v>
      </c>
      <c r="AK15" s="1">
        <f t="shared" si="0"/>
        <v>-4.1678856788910252</v>
      </c>
      <c r="AL15" s="1">
        <f t="shared" si="0"/>
        <v>-2.7127737600009709</v>
      </c>
      <c r="AM15" s="1">
        <f t="shared" si="0"/>
        <v>-1.3245030412199981</v>
      </c>
      <c r="AN15" s="1">
        <f t="shared" si="0"/>
        <v>-1.3857896591860026</v>
      </c>
      <c r="AO15" s="1">
        <f t="shared" si="0"/>
        <v>-1.4053313262249958</v>
      </c>
      <c r="AP15" s="1">
        <f t="shared" si="0"/>
        <v>-1.522504879192013</v>
      </c>
      <c r="AQ15" s="1">
        <f t="shared" si="0"/>
        <v>-1.4555967656770008</v>
      </c>
      <c r="AR15" s="1">
        <f t="shared" ref="AR15:BW15" si="1">AR9-AR3</f>
        <v>-1.4596242908249906</v>
      </c>
      <c r="AS15" s="1">
        <f t="shared" si="1"/>
        <v>-1.3259898074189778</v>
      </c>
      <c r="AT15" s="1">
        <f t="shared" si="1"/>
        <v>-0.89797748669298016</v>
      </c>
      <c r="AU15" s="1">
        <f t="shared" si="1"/>
        <v>-0.9419471861809825</v>
      </c>
      <c r="AV15" s="1">
        <f t="shared" si="1"/>
        <v>-0.83768206614399787</v>
      </c>
      <c r="AW15" s="1">
        <f t="shared" si="1"/>
        <v>-0.67086533166894924</v>
      </c>
      <c r="AX15" s="1">
        <f t="shared" si="1"/>
        <v>-0.79800079962802783</v>
      </c>
      <c r="AY15" s="1">
        <f t="shared" si="1"/>
        <v>-0.75061814113001901</v>
      </c>
      <c r="AZ15" s="1">
        <f t="shared" si="1"/>
        <v>-0.87044672530100797</v>
      </c>
      <c r="BA15" s="1">
        <f t="shared" si="1"/>
        <v>-0.87136771357501175</v>
      </c>
      <c r="BB15" s="1">
        <f t="shared" si="1"/>
        <v>-0.96243313961196009</v>
      </c>
      <c r="BC15" s="1">
        <f t="shared" si="1"/>
        <v>7.6055088364309995</v>
      </c>
      <c r="BD15" s="1">
        <f t="shared" si="1"/>
        <v>7.4633425881680182</v>
      </c>
      <c r="BE15" s="1">
        <f t="shared" si="1"/>
        <v>7.3697479065909874</v>
      </c>
      <c r="BF15" s="1">
        <f t="shared" si="1"/>
        <v>7.378766727092966</v>
      </c>
      <c r="BG15" s="1">
        <f t="shared" si="1"/>
        <v>7.4281182723440224</v>
      </c>
      <c r="BH15" s="1">
        <f t="shared" si="1"/>
        <v>7.4999977134999654</v>
      </c>
      <c r="BI15" s="1">
        <f t="shared" si="1"/>
        <v>7.5319486233820498</v>
      </c>
      <c r="BJ15" s="1">
        <f t="shared" si="1"/>
        <v>6.2821075734580063</v>
      </c>
      <c r="BK15" s="1">
        <f t="shared" si="1"/>
        <v>26.708203037527028</v>
      </c>
      <c r="BL15" s="1">
        <f t="shared" si="1"/>
        <v>26.466870016108999</v>
      </c>
      <c r="BM15" s="1">
        <f t="shared" si="1"/>
        <v>26.221321405455001</v>
      </c>
      <c r="BN15" s="1">
        <f t="shared" si="1"/>
        <v>26.391853714446029</v>
      </c>
      <c r="BO15" s="1">
        <f t="shared" si="1"/>
        <v>26.243765912484037</v>
      </c>
      <c r="BP15" s="1">
        <f t="shared" si="1"/>
        <v>26.532052608088009</v>
      </c>
      <c r="BQ15" s="1">
        <f t="shared" si="1"/>
        <v>26.227187575739038</v>
      </c>
      <c r="BR15" s="1">
        <f t="shared" si="1"/>
        <v>22.690369660484976</v>
      </c>
      <c r="BS15" s="1">
        <f t="shared" si="1"/>
        <v>15.128212459180986</v>
      </c>
      <c r="BT15" s="1">
        <f t="shared" si="1"/>
        <v>15.260484293367028</v>
      </c>
      <c r="BU15" s="1">
        <f t="shared" si="1"/>
        <v>15.485875547093997</v>
      </c>
      <c r="BV15" s="1">
        <f t="shared" si="1"/>
        <v>15.194801186400014</v>
      </c>
      <c r="BW15" s="1">
        <f t="shared" si="1"/>
        <v>15.229362901510967</v>
      </c>
      <c r="BX15" s="1">
        <f t="shared" ref="BX15:CP15" si="2">BX9-BX3</f>
        <v>15.077519372958022</v>
      </c>
      <c r="BY15" s="1">
        <f t="shared" si="2"/>
        <v>14.549549714431009</v>
      </c>
      <c r="BZ15" s="1">
        <f t="shared" si="2"/>
        <v>13.16372149189101</v>
      </c>
      <c r="CA15" s="1">
        <f t="shared" si="2"/>
        <v>7.9364916511389652</v>
      </c>
      <c r="CB15" s="1">
        <f t="shared" si="2"/>
        <v>8.3300904877780226</v>
      </c>
      <c r="CC15" s="1">
        <f t="shared" si="2"/>
        <v>8.0751497389450151</v>
      </c>
      <c r="CD15" s="1">
        <f t="shared" si="2"/>
        <v>7.8234163134949881</v>
      </c>
      <c r="CE15" s="1">
        <f t="shared" si="2"/>
        <v>7.6581140043180085</v>
      </c>
      <c r="CF15" s="1">
        <f t="shared" si="2"/>
        <v>7.4611620933530389</v>
      </c>
      <c r="CG15" s="1">
        <f t="shared" si="2"/>
        <v>7.059453261940007</v>
      </c>
      <c r="CH15" s="1">
        <f t="shared" si="2"/>
        <v>5.4570719949680324</v>
      </c>
      <c r="CI15" s="1">
        <f t="shared" si="2"/>
        <v>6.1661764355170021</v>
      </c>
      <c r="CJ15" s="1">
        <f t="shared" si="2"/>
        <v>6.4025505839719585</v>
      </c>
      <c r="CK15" s="1">
        <f t="shared" si="2"/>
        <v>6.5551046510670403</v>
      </c>
      <c r="CL15" s="1">
        <f t="shared" si="2"/>
        <v>6.4315988914549962</v>
      </c>
      <c r="CM15" s="1">
        <f t="shared" si="2"/>
        <v>6.2846215131660301</v>
      </c>
      <c r="CN15" s="1">
        <f t="shared" si="2"/>
        <v>6.1132414328840241</v>
      </c>
      <c r="CO15" s="1">
        <f t="shared" si="2"/>
        <v>5.4145889070950375</v>
      </c>
      <c r="CP15" s="1">
        <f t="shared" si="2"/>
        <v>4.533949980512034</v>
      </c>
    </row>
    <row r="16" spans="1:94" x14ac:dyDescent="0.25">
      <c r="C16" s="1">
        <f t="shared" ref="C16:AP16" si="3">C10-C4</f>
        <v>0</v>
      </c>
      <c r="D16" s="1">
        <f t="shared" si="3"/>
        <v>0</v>
      </c>
      <c r="E16" s="1">
        <f t="shared" si="3"/>
        <v>0</v>
      </c>
      <c r="F16" s="1">
        <f t="shared" si="3"/>
        <v>0</v>
      </c>
      <c r="G16" s="1">
        <f t="shared" si="3"/>
        <v>0</v>
      </c>
      <c r="H16" s="1">
        <f t="shared" si="3"/>
        <v>0</v>
      </c>
      <c r="I16" s="1">
        <f t="shared" si="3"/>
        <v>0</v>
      </c>
      <c r="J16" s="1">
        <f t="shared" si="3"/>
        <v>0</v>
      </c>
      <c r="K16" s="1">
        <f t="shared" si="3"/>
        <v>0</v>
      </c>
      <c r="L16" s="1">
        <f t="shared" si="3"/>
        <v>0</v>
      </c>
      <c r="M16" s="1">
        <f t="shared" si="3"/>
        <v>0</v>
      </c>
      <c r="N16" s="1">
        <f t="shared" si="3"/>
        <v>0</v>
      </c>
      <c r="O16" s="1">
        <f t="shared" si="3"/>
        <v>0.83239552193396094</v>
      </c>
      <c r="P16" s="1">
        <f t="shared" si="3"/>
        <v>0.78120782277500211</v>
      </c>
      <c r="Q16" s="1">
        <f t="shared" si="3"/>
        <v>0.78545971380799529</v>
      </c>
      <c r="R16" s="1">
        <f t="shared" si="3"/>
        <v>0.93509434612701625</v>
      </c>
      <c r="S16" s="1">
        <f t="shared" si="3"/>
        <v>0.83352168863899578</v>
      </c>
      <c r="T16" s="1">
        <f t="shared" si="3"/>
        <v>0.78391551445798768</v>
      </c>
      <c r="U16" s="1">
        <f t="shared" si="3"/>
        <v>0.74968416443999786</v>
      </c>
      <c r="V16" s="1">
        <f t="shared" si="3"/>
        <v>0.45857561026099347</v>
      </c>
      <c r="W16" s="1">
        <f t="shared" si="3"/>
        <v>1.3844887438190199</v>
      </c>
      <c r="X16" s="1">
        <f t="shared" si="3"/>
        <v>1.3122475123970503</v>
      </c>
      <c r="Y16" s="1">
        <f t="shared" si="3"/>
        <v>1.427956609612977</v>
      </c>
      <c r="Z16" s="1">
        <f t="shared" si="3"/>
        <v>1.2597335150740037</v>
      </c>
      <c r="AA16" s="1">
        <f t="shared" si="3"/>
        <v>1.3849050181430016</v>
      </c>
      <c r="AB16" s="1">
        <f t="shared" si="3"/>
        <v>1.2090750723309611</v>
      </c>
      <c r="AC16" s="1">
        <f t="shared" si="3"/>
        <v>1.2859146858119743</v>
      </c>
      <c r="AD16" s="1">
        <f t="shared" si="3"/>
        <v>1.2178218338190163</v>
      </c>
      <c r="AE16" s="1">
        <f t="shared" si="3"/>
        <v>-2.1016896743129792</v>
      </c>
      <c r="AF16" s="1">
        <f t="shared" si="3"/>
        <v>-1.9282368100259646</v>
      </c>
      <c r="AG16" s="1">
        <f t="shared" si="3"/>
        <v>-1.7967623933909636</v>
      </c>
      <c r="AH16" s="1">
        <f t="shared" si="3"/>
        <v>-2.0713082367149696</v>
      </c>
      <c r="AI16" s="1">
        <f t="shared" si="3"/>
        <v>-2.0063382094730287</v>
      </c>
      <c r="AJ16" s="1">
        <f t="shared" si="3"/>
        <v>-2.0023765068659714</v>
      </c>
      <c r="AK16" s="1">
        <f t="shared" si="3"/>
        <v>-1.9533634852500086</v>
      </c>
      <c r="AL16" s="1">
        <f t="shared" si="3"/>
        <v>-1.2684020355670214</v>
      </c>
      <c r="AM16" s="1">
        <f t="shared" si="3"/>
        <v>2.3808989999530468</v>
      </c>
      <c r="AN16" s="1">
        <f t="shared" si="3"/>
        <v>2.2038722078369801</v>
      </c>
      <c r="AO16" s="1">
        <f t="shared" si="3"/>
        <v>2.2760139701720163</v>
      </c>
      <c r="AP16" s="1">
        <f t="shared" si="3"/>
        <v>2.2492020280420206</v>
      </c>
      <c r="AQ16" s="1">
        <f t="shared" ref="AQ16:BV16" si="4">AQ10-AQ4</f>
        <v>2.3498736038400239</v>
      </c>
      <c r="AR16" s="1">
        <f t="shared" si="4"/>
        <v>2.3414472049660162</v>
      </c>
      <c r="AS16" s="1">
        <f t="shared" si="4"/>
        <v>2.5118201985089854</v>
      </c>
      <c r="AT16" s="1">
        <f t="shared" si="4"/>
        <v>3.0872834479239941</v>
      </c>
      <c r="AU16" s="1">
        <f t="shared" si="4"/>
        <v>1.3728041213200299</v>
      </c>
      <c r="AV16" s="1">
        <f t="shared" si="4"/>
        <v>1.2688694800360167</v>
      </c>
      <c r="AW16" s="1">
        <f t="shared" si="4"/>
        <v>1.5408879422770383</v>
      </c>
      <c r="AX16" s="1">
        <f t="shared" si="4"/>
        <v>1.5041002395140026</v>
      </c>
      <c r="AY16" s="1">
        <f t="shared" si="4"/>
        <v>1.4305258114780486</v>
      </c>
      <c r="AZ16" s="1">
        <f t="shared" si="4"/>
        <v>1.3620246194629999</v>
      </c>
      <c r="BA16" s="1">
        <f t="shared" si="4"/>
        <v>1.2916067013260317</v>
      </c>
      <c r="BB16" s="1">
        <f t="shared" si="4"/>
        <v>0.89587570140901107</v>
      </c>
      <c r="BC16" s="1">
        <f t="shared" si="4"/>
        <v>2.658262939734982</v>
      </c>
      <c r="BD16" s="1">
        <f t="shared" si="4"/>
        <v>2.0861740645580085</v>
      </c>
      <c r="BE16" s="1">
        <f t="shared" si="4"/>
        <v>2.2298611511130275</v>
      </c>
      <c r="BF16" s="1">
        <f t="shared" si="4"/>
        <v>2.1013018760779687</v>
      </c>
      <c r="BG16" s="1">
        <f t="shared" si="4"/>
        <v>2.2051197075129494</v>
      </c>
      <c r="BH16" s="1">
        <f t="shared" si="4"/>
        <v>2.0547086135160271</v>
      </c>
      <c r="BI16" s="1">
        <f t="shared" si="4"/>
        <v>2.0898765803729589</v>
      </c>
      <c r="BJ16" s="1">
        <f t="shared" si="4"/>
        <v>1.6116220644730106</v>
      </c>
      <c r="BK16" s="1">
        <f t="shared" si="4"/>
        <v>6.5557996878590075</v>
      </c>
      <c r="BL16" s="1">
        <f t="shared" si="4"/>
        <v>6.3085482738999872</v>
      </c>
      <c r="BM16" s="1">
        <f t="shared" si="4"/>
        <v>6.0111886221100121</v>
      </c>
      <c r="BN16" s="1">
        <f t="shared" si="4"/>
        <v>6.2839675871120448</v>
      </c>
      <c r="BO16" s="1">
        <f t="shared" si="4"/>
        <v>6.1495291379879973</v>
      </c>
      <c r="BP16" s="1">
        <f t="shared" si="4"/>
        <v>6.3565928787809867</v>
      </c>
      <c r="BQ16" s="1">
        <f t="shared" si="4"/>
        <v>6.2973038860060342</v>
      </c>
      <c r="BR16" s="1">
        <f t="shared" si="4"/>
        <v>5.3420365627609954</v>
      </c>
      <c r="BS16" s="1">
        <f t="shared" si="4"/>
        <v>7.8732076072089967</v>
      </c>
      <c r="BT16" s="1">
        <f t="shared" si="4"/>
        <v>7.6844452176169966</v>
      </c>
      <c r="BU16" s="1">
        <f t="shared" si="4"/>
        <v>8.1605074666749715</v>
      </c>
      <c r="BV16" s="1">
        <f t="shared" si="4"/>
        <v>7.7236840648039902</v>
      </c>
      <c r="BW16" s="1">
        <f t="shared" ref="BW16:CP16" si="5">BW10-BW4</f>
        <v>7.746841564755016</v>
      </c>
      <c r="BX16" s="1">
        <f t="shared" si="5"/>
        <v>7.678348528789968</v>
      </c>
      <c r="BY16" s="1">
        <f t="shared" si="5"/>
        <v>7.2627109034650061</v>
      </c>
      <c r="BZ16" s="1">
        <f t="shared" si="5"/>
        <v>6.7523860671930152</v>
      </c>
      <c r="CA16" s="1">
        <f t="shared" si="5"/>
        <v>4.7572388322249708</v>
      </c>
      <c r="CB16" s="1">
        <f t="shared" si="5"/>
        <v>3.5448410186530168</v>
      </c>
      <c r="CC16" s="1">
        <f t="shared" si="5"/>
        <v>4.3683245448669936</v>
      </c>
      <c r="CD16" s="1">
        <f t="shared" si="5"/>
        <v>4.0283982897460078</v>
      </c>
      <c r="CE16" s="1">
        <f t="shared" si="5"/>
        <v>3.6080737354000121</v>
      </c>
      <c r="CF16" s="1">
        <f t="shared" si="5"/>
        <v>3.2371275073259653</v>
      </c>
      <c r="CG16" s="1">
        <f t="shared" si="5"/>
        <v>2.5731768720700074</v>
      </c>
      <c r="CH16" s="1">
        <f t="shared" si="5"/>
        <v>2.8705463500119777</v>
      </c>
      <c r="CI16" s="1">
        <f t="shared" si="5"/>
        <v>3.9518591137480144</v>
      </c>
      <c r="CJ16" s="1">
        <f t="shared" si="5"/>
        <v>3.8635169067309789</v>
      </c>
      <c r="CK16" s="1">
        <f t="shared" si="5"/>
        <v>4.1728931658349779</v>
      </c>
      <c r="CL16" s="1">
        <f t="shared" si="5"/>
        <v>4.0267681790850247</v>
      </c>
      <c r="CM16" s="1">
        <f t="shared" si="5"/>
        <v>3.8393203576810038</v>
      </c>
      <c r="CN16" s="1">
        <f t="shared" si="5"/>
        <v>3.2923492902669977</v>
      </c>
      <c r="CO16" s="1">
        <f t="shared" si="5"/>
        <v>3.0099874495069798</v>
      </c>
      <c r="CP16" s="1">
        <f t="shared" si="5"/>
        <v>2.0435919270100271</v>
      </c>
    </row>
    <row r="17" spans="2:94" x14ac:dyDescent="0.25">
      <c r="C17" s="1">
        <f t="shared" ref="C17:AP17" si="6">C11-C5</f>
        <v>0</v>
      </c>
      <c r="D17" s="1">
        <f t="shared" si="6"/>
        <v>0</v>
      </c>
      <c r="E17" s="1">
        <f t="shared" si="6"/>
        <v>0</v>
      </c>
      <c r="F17" s="1">
        <f t="shared" si="6"/>
        <v>0</v>
      </c>
      <c r="G17" s="1">
        <f t="shared" si="6"/>
        <v>0</v>
      </c>
      <c r="H17" s="1">
        <f t="shared" si="6"/>
        <v>0</v>
      </c>
      <c r="I17" s="1">
        <f t="shared" si="6"/>
        <v>0</v>
      </c>
      <c r="J17" s="1">
        <f t="shared" si="6"/>
        <v>0</v>
      </c>
      <c r="K17" s="1">
        <f t="shared" si="6"/>
        <v>0</v>
      </c>
      <c r="L17" s="1">
        <f t="shared" si="6"/>
        <v>0</v>
      </c>
      <c r="M17" s="1">
        <f t="shared" si="6"/>
        <v>0</v>
      </c>
      <c r="N17" s="1">
        <f t="shared" si="6"/>
        <v>0</v>
      </c>
      <c r="O17" s="1">
        <f t="shared" si="6"/>
        <v>1.1704426370099554</v>
      </c>
      <c r="P17" s="1">
        <f t="shared" si="6"/>
        <v>1.2128019582629577</v>
      </c>
      <c r="Q17" s="1">
        <f t="shared" si="6"/>
        <v>1.1515488994019734</v>
      </c>
      <c r="R17" s="1">
        <f t="shared" si="6"/>
        <v>1.2559133374620046</v>
      </c>
      <c r="S17" s="1">
        <f t="shared" si="6"/>
        <v>1.1954930693669894</v>
      </c>
      <c r="T17" s="1">
        <f t="shared" si="6"/>
        <v>1.17346214607403</v>
      </c>
      <c r="U17" s="1">
        <f t="shared" si="6"/>
        <v>1.1089238301010482</v>
      </c>
      <c r="V17" s="1">
        <f t="shared" si="6"/>
        <v>0.8306358476129958</v>
      </c>
      <c r="W17" s="1">
        <f t="shared" si="6"/>
        <v>0.50272423310201475</v>
      </c>
      <c r="X17" s="1">
        <f t="shared" si="6"/>
        <v>0.62623113759900662</v>
      </c>
      <c r="Y17" s="1">
        <f t="shared" si="6"/>
        <v>0.62794256400195536</v>
      </c>
      <c r="Z17" s="1">
        <f t="shared" si="6"/>
        <v>0.43375166794203324</v>
      </c>
      <c r="AA17" s="1">
        <f t="shared" si="6"/>
        <v>0.54959533569899577</v>
      </c>
      <c r="AB17" s="1">
        <f t="shared" si="6"/>
        <v>0.52154829715800588</v>
      </c>
      <c r="AC17" s="1">
        <f t="shared" si="6"/>
        <v>0.64028903907200174</v>
      </c>
      <c r="AD17" s="1">
        <f t="shared" si="6"/>
        <v>7.4983691710997391E-2</v>
      </c>
      <c r="AE17" s="1">
        <f t="shared" si="6"/>
        <v>1.6691603379460389</v>
      </c>
      <c r="AF17" s="1">
        <f t="shared" si="6"/>
        <v>1.8078448249960388</v>
      </c>
      <c r="AG17" s="1">
        <f t="shared" si="6"/>
        <v>1.878647033871971</v>
      </c>
      <c r="AH17" s="1">
        <f t="shared" si="6"/>
        <v>1.5787386326260275</v>
      </c>
      <c r="AI17" s="1">
        <f t="shared" si="6"/>
        <v>1.7271302610780026</v>
      </c>
      <c r="AJ17" s="1">
        <f t="shared" si="6"/>
        <v>1.6922781353640062</v>
      </c>
      <c r="AK17" s="1">
        <f t="shared" si="6"/>
        <v>1.7415196370550348</v>
      </c>
      <c r="AL17" s="1">
        <f t="shared" si="6"/>
        <v>1.8069358408899916</v>
      </c>
      <c r="AM17" s="1">
        <f t="shared" si="6"/>
        <v>-0.20277320695799972</v>
      </c>
      <c r="AN17" s="1">
        <f t="shared" si="6"/>
        <v>1.8643611850961861E-2</v>
      </c>
      <c r="AO17" s="1">
        <f t="shared" si="6"/>
        <v>-2.0017208142007803E-2</v>
      </c>
      <c r="AP17" s="1">
        <f t="shared" si="6"/>
        <v>-0.16339076891898685</v>
      </c>
      <c r="AQ17" s="1">
        <f t="shared" ref="AQ17:BV17" si="7">AQ11-AQ5</f>
        <v>-9.6659757224983878E-2</v>
      </c>
      <c r="AR17" s="1">
        <f t="shared" si="7"/>
        <v>-6.4265901281999049E-2</v>
      </c>
      <c r="AS17" s="1">
        <f t="shared" si="7"/>
        <v>-8.0681217370965896E-2</v>
      </c>
      <c r="AT17" s="1">
        <f t="shared" si="7"/>
        <v>-0.30736556623799061</v>
      </c>
      <c r="AU17" s="1">
        <f t="shared" si="7"/>
        <v>0.46507843946102412</v>
      </c>
      <c r="AV17" s="1">
        <f t="shared" si="7"/>
        <v>0.49977262935499311</v>
      </c>
      <c r="AW17" s="1">
        <f t="shared" si="7"/>
        <v>0.59660426340701633</v>
      </c>
      <c r="AX17" s="1">
        <f t="shared" si="7"/>
        <v>0.5152715299749957</v>
      </c>
      <c r="AY17" s="1">
        <f t="shared" si="7"/>
        <v>0.52441232320398967</v>
      </c>
      <c r="AZ17" s="1">
        <f t="shared" si="7"/>
        <v>0.6068254809600262</v>
      </c>
      <c r="BA17" s="1">
        <f t="shared" si="7"/>
        <v>0.58908583897601829</v>
      </c>
      <c r="BB17" s="1">
        <f t="shared" si="7"/>
        <v>0.46277280884396532</v>
      </c>
      <c r="BC17" s="1">
        <f t="shared" si="7"/>
        <v>9.9424552399000277E-2</v>
      </c>
      <c r="BD17" s="1">
        <f t="shared" si="7"/>
        <v>5.5949200808981914E-2</v>
      </c>
      <c r="BE17" s="1">
        <f t="shared" si="7"/>
        <v>0.13978398868897557</v>
      </c>
      <c r="BF17" s="1">
        <f t="shared" si="7"/>
        <v>9.0842498142023942E-2</v>
      </c>
      <c r="BG17" s="1">
        <f t="shared" si="7"/>
        <v>0.14161282245203211</v>
      </c>
      <c r="BH17" s="1">
        <f t="shared" si="7"/>
        <v>-2.4656684621959357E-2</v>
      </c>
      <c r="BI17" s="1">
        <f t="shared" si="7"/>
        <v>-0.17642099799098787</v>
      </c>
      <c r="BJ17" s="1">
        <f t="shared" si="7"/>
        <v>-0.60771252832898881</v>
      </c>
      <c r="BK17" s="1">
        <f t="shared" si="7"/>
        <v>9.6205070589529669</v>
      </c>
      <c r="BL17" s="1">
        <f t="shared" si="7"/>
        <v>9.8267011095069847</v>
      </c>
      <c r="BM17" s="1">
        <f t="shared" si="7"/>
        <v>9.3254153406249998</v>
      </c>
      <c r="BN17" s="1">
        <f t="shared" si="7"/>
        <v>9.4827002364920077</v>
      </c>
      <c r="BO17" s="1">
        <f t="shared" si="7"/>
        <v>9.5387721460720059</v>
      </c>
      <c r="BP17" s="1">
        <f t="shared" si="7"/>
        <v>9.7464589030699926</v>
      </c>
      <c r="BQ17" s="1">
        <f t="shared" si="7"/>
        <v>9.5610535584260106</v>
      </c>
      <c r="BR17" s="1">
        <f t="shared" si="7"/>
        <v>8.0658299843640293</v>
      </c>
      <c r="BS17" s="1">
        <f t="shared" si="7"/>
        <v>10.448839721020988</v>
      </c>
      <c r="BT17" s="1">
        <f t="shared" si="7"/>
        <v>10.576303358437997</v>
      </c>
      <c r="BU17" s="1">
        <f t="shared" si="7"/>
        <v>10.723373502815036</v>
      </c>
      <c r="BV17" s="1">
        <f t="shared" si="7"/>
        <v>10.366718842152977</v>
      </c>
      <c r="BW17" s="1">
        <f t="shared" ref="BW17:CP17" si="8">BW11-BW5</f>
        <v>10.452174035894018</v>
      </c>
      <c r="BX17" s="1">
        <f t="shared" si="8"/>
        <v>10.357022410980051</v>
      </c>
      <c r="BY17" s="1">
        <f t="shared" si="8"/>
        <v>9.926793586615986</v>
      </c>
      <c r="BZ17" s="1">
        <f t="shared" si="8"/>
        <v>8.7946874870149827</v>
      </c>
      <c r="CA17" s="1">
        <f t="shared" si="8"/>
        <v>6.7754149273879989</v>
      </c>
      <c r="CB17" s="1">
        <f t="shared" si="8"/>
        <v>6.8607739870740261</v>
      </c>
      <c r="CC17" s="1">
        <f t="shared" si="8"/>
        <v>6.6745979987589976</v>
      </c>
      <c r="CD17" s="1">
        <f t="shared" si="8"/>
        <v>6.4418543230789851</v>
      </c>
      <c r="CE17" s="1">
        <f t="shared" si="8"/>
        <v>6.2250848183769563</v>
      </c>
      <c r="CF17" s="1">
        <f t="shared" si="8"/>
        <v>5.8736253421669744</v>
      </c>
      <c r="CG17" s="1">
        <f t="shared" si="8"/>
        <v>5.2578734662010334</v>
      </c>
      <c r="CH17" s="1">
        <f t="shared" si="8"/>
        <v>3.652103209637005</v>
      </c>
      <c r="CI17" s="1">
        <f t="shared" si="8"/>
        <v>5.7091916662869835</v>
      </c>
      <c r="CJ17" s="1">
        <f t="shared" si="8"/>
        <v>5.7524754077629723</v>
      </c>
      <c r="CK17" s="1">
        <f t="shared" si="8"/>
        <v>5.9474502488189955</v>
      </c>
      <c r="CL17" s="1">
        <f t="shared" si="8"/>
        <v>5.8255698108440015</v>
      </c>
      <c r="CM17" s="1">
        <f t="shared" si="8"/>
        <v>5.6262373844739955</v>
      </c>
      <c r="CN17" s="1">
        <f t="shared" si="8"/>
        <v>5.2507950043439564</v>
      </c>
      <c r="CO17" s="1">
        <f t="shared" si="8"/>
        <v>4.7232781304010132</v>
      </c>
      <c r="CP17" s="1">
        <f t="shared" si="8"/>
        <v>3.6708469359809897</v>
      </c>
    </row>
    <row r="18" spans="2:94" x14ac:dyDescent="0.25">
      <c r="C18" s="1">
        <f t="shared" ref="C18:AP18" si="9">C12-C6</f>
        <v>0</v>
      </c>
      <c r="D18" s="1">
        <f t="shared" si="9"/>
        <v>0</v>
      </c>
      <c r="E18" s="1">
        <f t="shared" si="9"/>
        <v>0</v>
      </c>
      <c r="F18" s="1">
        <f t="shared" si="9"/>
        <v>0</v>
      </c>
      <c r="G18" s="1">
        <f t="shared" si="9"/>
        <v>0</v>
      </c>
      <c r="H18" s="1">
        <f t="shared" si="9"/>
        <v>0</v>
      </c>
      <c r="I18" s="1">
        <f t="shared" si="9"/>
        <v>0</v>
      </c>
      <c r="J18" s="1">
        <f t="shared" si="9"/>
        <v>0</v>
      </c>
      <c r="K18" s="1">
        <f t="shared" si="9"/>
        <v>0</v>
      </c>
      <c r="L18" s="1">
        <f t="shared" si="9"/>
        <v>0</v>
      </c>
      <c r="M18" s="1">
        <f t="shared" si="9"/>
        <v>0</v>
      </c>
      <c r="N18" s="1">
        <f t="shared" si="9"/>
        <v>0</v>
      </c>
      <c r="O18" s="1">
        <f t="shared" si="9"/>
        <v>-1.5994844070510226</v>
      </c>
      <c r="P18" s="1">
        <f t="shared" si="9"/>
        <v>-1.541246520132006</v>
      </c>
      <c r="Q18" s="1">
        <f t="shared" si="9"/>
        <v>-1.6551413614519674</v>
      </c>
      <c r="R18" s="1">
        <f t="shared" si="9"/>
        <v>-1.5742098889090244</v>
      </c>
      <c r="S18" s="1">
        <f t="shared" si="9"/>
        <v>-1.601818194435964</v>
      </c>
      <c r="T18" s="1">
        <f t="shared" si="9"/>
        <v>-1.3933698986180048</v>
      </c>
      <c r="U18" s="1">
        <f t="shared" si="9"/>
        <v>-1.2505530621949674</v>
      </c>
      <c r="V18" s="1">
        <f t="shared" si="9"/>
        <v>-0.73724065458401355</v>
      </c>
      <c r="W18" s="1">
        <f t="shared" si="9"/>
        <v>-1.4626944388639913</v>
      </c>
      <c r="X18" s="1">
        <f t="shared" si="9"/>
        <v>-1.395072541349009</v>
      </c>
      <c r="Y18" s="1">
        <f t="shared" si="9"/>
        <v>-1.4359270288929906</v>
      </c>
      <c r="Z18" s="1">
        <f t="shared" si="9"/>
        <v>-1.5270560189579783</v>
      </c>
      <c r="AA18" s="1">
        <f t="shared" si="9"/>
        <v>-1.4547362874329792</v>
      </c>
      <c r="AB18" s="1">
        <f t="shared" si="9"/>
        <v>-1.3684157861069934</v>
      </c>
      <c r="AC18" s="1">
        <f t="shared" si="9"/>
        <v>-1.1992191546879667</v>
      </c>
      <c r="AD18" s="1">
        <f t="shared" si="9"/>
        <v>-1.4396478654549583</v>
      </c>
      <c r="AE18" s="1">
        <f t="shared" si="9"/>
        <v>-1.1783001470570298</v>
      </c>
      <c r="AF18" s="1">
        <f t="shared" si="9"/>
        <v>-1.0451815607989943</v>
      </c>
      <c r="AG18" s="1">
        <f t="shared" si="9"/>
        <v>-1.043974391687982</v>
      </c>
      <c r="AH18" s="1">
        <f t="shared" si="9"/>
        <v>-1.2079536713879975</v>
      </c>
      <c r="AI18" s="1">
        <f t="shared" si="9"/>
        <v>-0.89193510937701603</v>
      </c>
      <c r="AJ18" s="1">
        <f t="shared" si="9"/>
        <v>-0.84302734845397254</v>
      </c>
      <c r="AK18" s="1">
        <f t="shared" si="9"/>
        <v>-0.90617079978801485</v>
      </c>
      <c r="AL18" s="1">
        <f t="shared" si="9"/>
        <v>-0.73203750460595529</v>
      </c>
      <c r="AM18" s="1">
        <f t="shared" si="9"/>
        <v>-3.0148740141709709</v>
      </c>
      <c r="AN18" s="1">
        <f t="shared" si="9"/>
        <v>-2.9642677948399978</v>
      </c>
      <c r="AO18" s="1">
        <f t="shared" si="9"/>
        <v>-2.8966218019889993</v>
      </c>
      <c r="AP18" s="1">
        <f t="shared" si="9"/>
        <v>-3.0349431999759986</v>
      </c>
      <c r="AQ18" s="1">
        <f t="shared" ref="AQ18:BV18" si="10">AQ12-AQ6</f>
        <v>-3.0074069582370271</v>
      </c>
      <c r="AR18" s="1">
        <f t="shared" si="10"/>
        <v>-3.1230925077389884</v>
      </c>
      <c r="AS18" s="1">
        <f t="shared" si="10"/>
        <v>-3.0509908537470096</v>
      </c>
      <c r="AT18" s="1">
        <f t="shared" si="10"/>
        <v>-2.4715648904689829</v>
      </c>
      <c r="AU18" s="1">
        <f t="shared" si="10"/>
        <v>-0.25493792577901786</v>
      </c>
      <c r="AV18" s="1">
        <f t="shared" si="10"/>
        <v>1.3471630375988752E-2</v>
      </c>
      <c r="AW18" s="1">
        <f t="shared" si="10"/>
        <v>-8.2318696781044309E-2</v>
      </c>
      <c r="AX18" s="1">
        <f t="shared" si="10"/>
        <v>-0.14990395085499131</v>
      </c>
      <c r="AY18" s="1">
        <f t="shared" si="10"/>
        <v>-6.7333988348991625E-2</v>
      </c>
      <c r="AZ18" s="1">
        <f t="shared" si="10"/>
        <v>2.7217286383972805E-2</v>
      </c>
      <c r="BA18" s="1">
        <f t="shared" si="10"/>
        <v>0.10276745808801024</v>
      </c>
      <c r="BB18" s="1">
        <f t="shared" si="10"/>
        <v>0.32208180354200522</v>
      </c>
      <c r="BC18" s="1">
        <f t="shared" si="10"/>
        <v>-7.5827754922929671</v>
      </c>
      <c r="BD18" s="1">
        <f t="shared" si="10"/>
        <v>-7.7535418703529331</v>
      </c>
      <c r="BE18" s="1">
        <f t="shared" si="10"/>
        <v>-7.6455135592880197</v>
      </c>
      <c r="BF18" s="1">
        <f t="shared" si="10"/>
        <v>-7.5361758991009538</v>
      </c>
      <c r="BG18" s="1">
        <f t="shared" si="10"/>
        <v>-7.5633899463929311</v>
      </c>
      <c r="BH18" s="1">
        <f t="shared" si="10"/>
        <v>-7.8213452664909937</v>
      </c>
      <c r="BI18" s="1">
        <f t="shared" si="10"/>
        <v>-7.7248426915940627</v>
      </c>
      <c r="BJ18" s="1">
        <f t="shared" si="10"/>
        <v>-5.7389972619780565</v>
      </c>
      <c r="BK18" s="1">
        <f t="shared" si="10"/>
        <v>-6.0719945122250465</v>
      </c>
      <c r="BL18" s="1">
        <f t="shared" si="10"/>
        <v>-6.1752697502699903</v>
      </c>
      <c r="BM18" s="1">
        <f t="shared" si="10"/>
        <v>-6.1980114149799874</v>
      </c>
      <c r="BN18" s="1">
        <f t="shared" si="10"/>
        <v>-5.9445746970060327</v>
      </c>
      <c r="BO18" s="1">
        <f t="shared" si="10"/>
        <v>-5.9232183347539831</v>
      </c>
      <c r="BP18" s="1">
        <f t="shared" si="10"/>
        <v>-5.6681292779360319</v>
      </c>
      <c r="BQ18" s="1">
        <f t="shared" si="10"/>
        <v>-5.5497396599910189</v>
      </c>
      <c r="BR18" s="1">
        <f t="shared" si="10"/>
        <v>-4.8510146142820076</v>
      </c>
      <c r="BS18" s="1">
        <f t="shared" si="10"/>
        <v>-1.7911449323390229</v>
      </c>
      <c r="BT18" s="1">
        <f t="shared" si="10"/>
        <v>-1.6264915880669832</v>
      </c>
      <c r="BU18" s="1">
        <f t="shared" si="10"/>
        <v>-1.6863550846450153</v>
      </c>
      <c r="BV18" s="1">
        <f t="shared" si="10"/>
        <v>-1.8789087827079811</v>
      </c>
      <c r="BW18" s="1">
        <f t="shared" ref="BW18:CP18" si="11">BW12-BW6</f>
        <v>-2.0123883959299746</v>
      </c>
      <c r="BX18" s="1">
        <f t="shared" si="11"/>
        <v>-1.9274796675470043</v>
      </c>
      <c r="BY18" s="1">
        <f t="shared" si="11"/>
        <v>-2.0824714532730013</v>
      </c>
      <c r="BZ18" s="1">
        <f t="shared" si="11"/>
        <v>-1.7144444200940256</v>
      </c>
      <c r="CA18" s="1">
        <f t="shared" si="11"/>
        <v>-2.5680943716040474</v>
      </c>
      <c r="CB18" s="1">
        <f t="shared" si="11"/>
        <v>-2.6354089308910034</v>
      </c>
      <c r="CC18" s="1">
        <f t="shared" si="11"/>
        <v>-2.9124880192300111</v>
      </c>
      <c r="CD18" s="1">
        <f t="shared" si="11"/>
        <v>-2.9828791295669816</v>
      </c>
      <c r="CE18" s="1">
        <f t="shared" si="11"/>
        <v>-2.8180264547459615</v>
      </c>
      <c r="CF18" s="1">
        <f t="shared" si="11"/>
        <v>-2.6737553589929917</v>
      </c>
      <c r="CG18" s="1">
        <f t="shared" si="11"/>
        <v>-2.4980329944369828</v>
      </c>
      <c r="CH18" s="1">
        <f t="shared" si="11"/>
        <v>-1.2393403749259733</v>
      </c>
      <c r="CI18" s="1">
        <f t="shared" si="11"/>
        <v>-3.5575273840960335</v>
      </c>
      <c r="CJ18" s="1">
        <f t="shared" si="11"/>
        <v>-3.5875148271060198</v>
      </c>
      <c r="CK18" s="1">
        <f t="shared" si="11"/>
        <v>-3.3803672028279834</v>
      </c>
      <c r="CL18" s="1">
        <f t="shared" si="11"/>
        <v>-3.4127340133360349</v>
      </c>
      <c r="CM18" s="1">
        <f t="shared" si="11"/>
        <v>-3.5613203024630025</v>
      </c>
      <c r="CN18" s="1">
        <f t="shared" si="11"/>
        <v>-3.5347471497819924</v>
      </c>
      <c r="CO18" s="1">
        <f t="shared" si="11"/>
        <v>-3.4191999492369973</v>
      </c>
      <c r="CP18" s="1">
        <f t="shared" si="11"/>
        <v>-2.7201840187059929</v>
      </c>
    </row>
    <row r="19" spans="2:94" x14ac:dyDescent="0.25">
      <c r="C19" s="1">
        <f t="shared" ref="C19:AP19" si="12">C13-C7</f>
        <v>0</v>
      </c>
      <c r="D19" s="1">
        <f t="shared" si="12"/>
        <v>0</v>
      </c>
      <c r="E19" s="1">
        <f t="shared" si="12"/>
        <v>0</v>
      </c>
      <c r="F19" s="1">
        <f t="shared" si="12"/>
        <v>0</v>
      </c>
      <c r="G19" s="1">
        <f t="shared" si="12"/>
        <v>0</v>
      </c>
      <c r="H19" s="1">
        <f t="shared" si="12"/>
        <v>0</v>
      </c>
      <c r="I19" s="1">
        <f t="shared" si="12"/>
        <v>0</v>
      </c>
      <c r="J19" s="1">
        <f t="shared" si="12"/>
        <v>0</v>
      </c>
      <c r="K19" s="1">
        <f t="shared" si="12"/>
        <v>0</v>
      </c>
      <c r="L19" s="1">
        <f t="shared" si="12"/>
        <v>0</v>
      </c>
      <c r="M19" s="1">
        <f t="shared" si="12"/>
        <v>0</v>
      </c>
      <c r="N19" s="1">
        <f t="shared" si="12"/>
        <v>0</v>
      </c>
      <c r="O19" s="1">
        <f t="shared" si="12"/>
        <v>1.2979275743779795</v>
      </c>
      <c r="P19" s="1">
        <f t="shared" si="12"/>
        <v>1.3880674349629771</v>
      </c>
      <c r="Q19" s="1">
        <f t="shared" si="12"/>
        <v>1.2667487463330076</v>
      </c>
      <c r="R19" s="1">
        <f t="shared" si="12"/>
        <v>1.376858242831986</v>
      </c>
      <c r="S19" s="1">
        <f t="shared" si="12"/>
        <v>1.2769236523470227</v>
      </c>
      <c r="T19" s="1">
        <f t="shared" si="12"/>
        <v>1.2590103979670175</v>
      </c>
      <c r="U19" s="1">
        <f t="shared" si="12"/>
        <v>1.0617145590309747</v>
      </c>
      <c r="V19" s="1">
        <f t="shared" si="12"/>
        <v>0.88870725176900578</v>
      </c>
      <c r="W19" s="1">
        <f t="shared" si="12"/>
        <v>2.1755490180689776</v>
      </c>
      <c r="X19" s="1">
        <f t="shared" si="12"/>
        <v>2.1136261933739888</v>
      </c>
      <c r="Y19" s="1">
        <f t="shared" si="12"/>
        <v>2.1417598133490401</v>
      </c>
      <c r="Z19" s="1">
        <f t="shared" si="12"/>
        <v>2.0881655162349944</v>
      </c>
      <c r="AA19" s="1">
        <f t="shared" si="12"/>
        <v>2.1393932096639787</v>
      </c>
      <c r="AB19" s="1">
        <f t="shared" si="12"/>
        <v>2.0735306346360289</v>
      </c>
      <c r="AC19" s="1">
        <f t="shared" si="12"/>
        <v>2.1082663997620443</v>
      </c>
      <c r="AD19" s="1">
        <f t="shared" si="12"/>
        <v>2.0563095514739871</v>
      </c>
      <c r="AE19" s="1">
        <f t="shared" si="12"/>
        <v>-0.82802448226897241</v>
      </c>
      <c r="AF19" s="1">
        <f t="shared" si="12"/>
        <v>-0.66093325275699044</v>
      </c>
      <c r="AG19" s="1">
        <f t="shared" si="12"/>
        <v>-0.4184810363939846</v>
      </c>
      <c r="AH19" s="1">
        <f t="shared" si="12"/>
        <v>-0.79640149908794911</v>
      </c>
      <c r="AI19" s="1">
        <f t="shared" si="12"/>
        <v>-0.52883180888500192</v>
      </c>
      <c r="AJ19" s="1">
        <f t="shared" si="12"/>
        <v>-0.4497049873810397</v>
      </c>
      <c r="AK19" s="1">
        <f t="shared" si="12"/>
        <v>-0.39320279088400412</v>
      </c>
      <c r="AL19" s="1">
        <f t="shared" si="12"/>
        <v>-9.001685738701326E-2</v>
      </c>
      <c r="AM19" s="1">
        <f t="shared" si="12"/>
        <v>2.3958217461080267</v>
      </c>
      <c r="AN19" s="1">
        <f t="shared" si="12"/>
        <v>2.3787640170319833</v>
      </c>
      <c r="AO19" s="1">
        <f t="shared" si="12"/>
        <v>2.3699651395169781</v>
      </c>
      <c r="AP19" s="1">
        <f t="shared" si="12"/>
        <v>2.273944897384979</v>
      </c>
      <c r="AQ19" s="1">
        <f t="shared" ref="AQ19:BV19" si="13">AQ13-AQ7</f>
        <v>2.4432283777200041</v>
      </c>
      <c r="AR19" s="1">
        <f t="shared" si="13"/>
        <v>2.5346339537849758</v>
      </c>
      <c r="AS19" s="1">
        <f t="shared" si="13"/>
        <v>2.6219498609260086</v>
      </c>
      <c r="AT19" s="1">
        <f t="shared" si="13"/>
        <v>3.0713249881770253</v>
      </c>
      <c r="AU19" s="1">
        <f t="shared" si="13"/>
        <v>-1.4748145860039585E-3</v>
      </c>
      <c r="AV19" s="1">
        <f t="shared" si="13"/>
        <v>0.24255253688500034</v>
      </c>
      <c r="AW19" s="1">
        <f t="shared" si="13"/>
        <v>0.25560456170501311</v>
      </c>
      <c r="AX19" s="1">
        <f t="shared" si="13"/>
        <v>5.4720739692015741E-2</v>
      </c>
      <c r="AY19" s="1">
        <f t="shared" si="13"/>
        <v>0.17226699874100859</v>
      </c>
      <c r="AZ19" s="1">
        <f t="shared" si="13"/>
        <v>0.11618081949097814</v>
      </c>
      <c r="BA19" s="1">
        <f t="shared" si="13"/>
        <v>0.11545754803495356</v>
      </c>
      <c r="BB19" s="1">
        <f t="shared" si="13"/>
        <v>0.18515921129903745</v>
      </c>
      <c r="BC19" s="1">
        <f t="shared" si="13"/>
        <v>1.6269025014549925</v>
      </c>
      <c r="BD19" s="1">
        <f t="shared" si="13"/>
        <v>1.5617998264489756</v>
      </c>
      <c r="BE19" s="1">
        <f t="shared" si="13"/>
        <v>1.3814633589159939</v>
      </c>
      <c r="BF19" s="1">
        <f t="shared" si="13"/>
        <v>1.4503018144559974</v>
      </c>
      <c r="BG19" s="1">
        <f t="shared" si="13"/>
        <v>1.5324996581139771</v>
      </c>
      <c r="BH19" s="1">
        <f t="shared" si="13"/>
        <v>1.504153191468049</v>
      </c>
      <c r="BI19" s="1">
        <f t="shared" si="13"/>
        <v>1.4097734656830312</v>
      </c>
      <c r="BJ19" s="1">
        <f t="shared" si="13"/>
        <v>1.1173360747609991</v>
      </c>
      <c r="BK19" s="1">
        <f t="shared" si="13"/>
        <v>10.477383172530949</v>
      </c>
      <c r="BL19" s="1">
        <f t="shared" si="13"/>
        <v>10.685301604119047</v>
      </c>
      <c r="BM19" s="1">
        <f t="shared" si="13"/>
        <v>10.422526178822068</v>
      </c>
      <c r="BN19" s="1">
        <f t="shared" si="13"/>
        <v>10.535054090817027</v>
      </c>
      <c r="BO19" s="1">
        <f t="shared" si="13"/>
        <v>10.331439047806043</v>
      </c>
      <c r="BP19" s="1">
        <f t="shared" si="13"/>
        <v>10.632498977542014</v>
      </c>
      <c r="BQ19" s="1">
        <f t="shared" si="13"/>
        <v>10.414590861514</v>
      </c>
      <c r="BR19" s="1">
        <f t="shared" si="13"/>
        <v>8.9290371169300329</v>
      </c>
      <c r="BS19" s="1">
        <f t="shared" si="13"/>
        <v>7.6289879404109797</v>
      </c>
      <c r="BT19" s="1">
        <f t="shared" si="13"/>
        <v>7.5400342611000042</v>
      </c>
      <c r="BU19" s="1">
        <f t="shared" si="13"/>
        <v>7.658571641914989</v>
      </c>
      <c r="BV19" s="1">
        <f t="shared" si="13"/>
        <v>7.5477031846870091</v>
      </c>
      <c r="BW19" s="1">
        <f t="shared" ref="BW19:CP19" si="14">BW13-BW7</f>
        <v>7.4433532759319974</v>
      </c>
      <c r="BX19" s="1">
        <f t="shared" si="14"/>
        <v>7.2714928870209974</v>
      </c>
      <c r="BY19" s="1">
        <f t="shared" si="14"/>
        <v>6.6866739050690285</v>
      </c>
      <c r="BZ19" s="1">
        <f t="shared" si="14"/>
        <v>6.1147662029740104</v>
      </c>
      <c r="CA19" s="1">
        <f t="shared" si="14"/>
        <v>3.7629463713230393</v>
      </c>
      <c r="CB19" s="1">
        <f t="shared" si="14"/>
        <v>2.701362801717039</v>
      </c>
      <c r="CC19" s="1">
        <f t="shared" si="14"/>
        <v>2.8649336290820315</v>
      </c>
      <c r="CD19" s="1">
        <f t="shared" si="14"/>
        <v>2.5703328829010275</v>
      </c>
      <c r="CE19" s="1">
        <f t="shared" si="14"/>
        <v>2.2733496708530083</v>
      </c>
      <c r="CF19" s="1">
        <f t="shared" si="14"/>
        <v>1.8110441235760391</v>
      </c>
      <c r="CG19" s="1">
        <f t="shared" si="14"/>
        <v>1.3623662820970139</v>
      </c>
      <c r="CH19" s="1">
        <f t="shared" si="14"/>
        <v>2.0613227106200043</v>
      </c>
      <c r="CI19" s="1">
        <f t="shared" si="14"/>
        <v>1.2794977931379776</v>
      </c>
      <c r="CJ19" s="1">
        <f t="shared" si="14"/>
        <v>1.1468489211280257</v>
      </c>
      <c r="CK19" s="1">
        <f t="shared" si="14"/>
        <v>1.4924074096090294</v>
      </c>
      <c r="CL19" s="1">
        <f t="shared" si="14"/>
        <v>1.3498769689949768</v>
      </c>
      <c r="CM19" s="1">
        <f t="shared" si="14"/>
        <v>1.0256003541180121</v>
      </c>
      <c r="CN19" s="1">
        <f t="shared" si="14"/>
        <v>0.76484583066400091</v>
      </c>
      <c r="CO19" s="1">
        <f t="shared" si="14"/>
        <v>0.56467360559202007</v>
      </c>
      <c r="CP19" s="1">
        <f t="shared" si="14"/>
        <v>0.26609840134699425</v>
      </c>
    </row>
    <row r="21" spans="2:94" x14ac:dyDescent="0.25">
      <c r="B21" t="s">
        <v>94</v>
      </c>
      <c r="C21" s="2">
        <f>C15/C3</f>
        <v>0</v>
      </c>
      <c r="D21" s="2">
        <f t="shared" ref="D21:AQ22" si="15">D15/D3</f>
        <v>0</v>
      </c>
      <c r="E21" s="2">
        <f t="shared" si="15"/>
        <v>0</v>
      </c>
      <c r="F21" s="2">
        <f t="shared" si="15"/>
        <v>0</v>
      </c>
      <c r="G21" s="2">
        <f t="shared" si="15"/>
        <v>0</v>
      </c>
      <c r="H21" s="2">
        <f t="shared" si="15"/>
        <v>0</v>
      </c>
      <c r="I21" s="2">
        <f t="shared" si="15"/>
        <v>0</v>
      </c>
      <c r="J21" s="2">
        <f t="shared" si="15"/>
        <v>0</v>
      </c>
      <c r="K21" s="2">
        <f t="shared" si="15"/>
        <v>0</v>
      </c>
      <c r="L21" s="2">
        <f t="shared" si="15"/>
        <v>0</v>
      </c>
      <c r="M21" s="2">
        <f t="shared" si="15"/>
        <v>0</v>
      </c>
      <c r="N21" s="2">
        <f t="shared" si="15"/>
        <v>0</v>
      </c>
      <c r="O21" s="2">
        <f t="shared" si="15"/>
        <v>1.8580607808823615E-3</v>
      </c>
      <c r="P21" s="2">
        <f t="shared" si="15"/>
        <v>2.5726004508009443E-3</v>
      </c>
      <c r="Q21" s="2">
        <f t="shared" si="15"/>
        <v>1.9431115817242139E-3</v>
      </c>
      <c r="R21" s="2">
        <f t="shared" si="15"/>
        <v>2.1151525859309126E-3</v>
      </c>
      <c r="S21" s="2">
        <f t="shared" si="15"/>
        <v>2.0571384721359003E-3</v>
      </c>
      <c r="T21" s="2">
        <f t="shared" si="15"/>
        <v>2.4415315662076214E-3</v>
      </c>
      <c r="U21" s="2">
        <f t="shared" si="15"/>
        <v>2.4453721525137637E-3</v>
      </c>
      <c r="V21" s="2">
        <f t="shared" si="15"/>
        <v>3.0648314691599978E-3</v>
      </c>
      <c r="W21" s="2">
        <f t="shared" si="15"/>
        <v>-2.7460807613295635E-4</v>
      </c>
      <c r="X21" s="2">
        <f t="shared" si="15"/>
        <v>2.5682117402428344E-4</v>
      </c>
      <c r="Y21" s="2">
        <f t="shared" si="15"/>
        <v>1.3576460289507926E-4</v>
      </c>
      <c r="Z21" s="2">
        <f t="shared" si="15"/>
        <v>-3.3664007740700786E-4</v>
      </c>
      <c r="AA21" s="2">
        <f t="shared" si="15"/>
        <v>-3.9698973072652909E-5</v>
      </c>
      <c r="AB21" s="2">
        <f t="shared" si="15"/>
        <v>8.6808016459500239E-5</v>
      </c>
      <c r="AC21" s="2">
        <f t="shared" si="15"/>
        <v>6.7199373494503556E-4</v>
      </c>
      <c r="AD21" s="2">
        <f t="shared" si="15"/>
        <v>-1.3929383879224076E-3</v>
      </c>
      <c r="AE21" s="2">
        <f t="shared" si="15"/>
        <v>-1.1314216949012187E-2</v>
      </c>
      <c r="AF21" s="2">
        <f t="shared" si="15"/>
        <v>-9.9883705249536811E-3</v>
      </c>
      <c r="AG21" s="2">
        <f t="shared" si="15"/>
        <v>-1.0320102903727936E-2</v>
      </c>
      <c r="AH21" s="2">
        <f t="shared" si="15"/>
        <v>-1.1067188905349551E-2</v>
      </c>
      <c r="AI21" s="2">
        <f t="shared" si="15"/>
        <v>-1.0255300860750815E-2</v>
      </c>
      <c r="AJ21" s="2">
        <f t="shared" si="15"/>
        <v>-9.9171554381017931E-3</v>
      </c>
      <c r="AK21" s="2">
        <f t="shared" si="15"/>
        <v>-9.6849894089016016E-3</v>
      </c>
      <c r="AL21" s="2">
        <f t="shared" si="15"/>
        <v>-6.6015040161109114E-3</v>
      </c>
      <c r="AM21" s="2">
        <f t="shared" si="15"/>
        <v>-3.2285978628352327E-3</v>
      </c>
      <c r="AN21" s="2">
        <f t="shared" si="15"/>
        <v>-3.3835327314354628E-3</v>
      </c>
      <c r="AO21" s="2">
        <f t="shared" si="15"/>
        <v>-3.4300270865772267E-3</v>
      </c>
      <c r="AP21" s="2">
        <f t="shared" si="15"/>
        <v>-3.7143738840079397E-3</v>
      </c>
      <c r="AQ21" s="2">
        <f t="shared" si="15"/>
        <v>-3.5514742179569678E-3</v>
      </c>
      <c r="AR21" s="2">
        <f t="shared" ref="AR21:BW24" si="16">AR15/AR3</f>
        <v>-3.5619000054156391E-3</v>
      </c>
      <c r="AS21" s="2">
        <f t="shared" si="16"/>
        <v>-3.244475875243322E-3</v>
      </c>
      <c r="AT21" s="2">
        <f t="shared" si="16"/>
        <v>-2.2835387257541953E-3</v>
      </c>
      <c r="AU21" s="2">
        <f t="shared" si="16"/>
        <v>-2.3382785673782109E-3</v>
      </c>
      <c r="AV21" s="2">
        <f t="shared" si="16"/>
        <v>-2.0831375173409302E-3</v>
      </c>
      <c r="AW21" s="2">
        <f t="shared" si="16"/>
        <v>-1.6682136446038243E-3</v>
      </c>
      <c r="AX21" s="2">
        <f t="shared" si="16"/>
        <v>-1.9842757059848142E-3</v>
      </c>
      <c r="AY21" s="2">
        <f t="shared" si="16"/>
        <v>-1.8663687993475924E-3</v>
      </c>
      <c r="AZ21" s="2">
        <f t="shared" si="16"/>
        <v>-2.1642024392382877E-3</v>
      </c>
      <c r="BA21" s="2">
        <f t="shared" si="16"/>
        <v>-2.1699985239330912E-3</v>
      </c>
      <c r="BB21" s="2">
        <f t="shared" si="16"/>
        <v>-2.4535637383682899E-3</v>
      </c>
      <c r="BC21" s="2">
        <f t="shared" si="16"/>
        <v>1.7063974633043391E-2</v>
      </c>
      <c r="BD21" s="2">
        <f t="shared" si="16"/>
        <v>1.6805620890172443E-2</v>
      </c>
      <c r="BE21" s="2">
        <f t="shared" si="16"/>
        <v>1.6585854403777214E-2</v>
      </c>
      <c r="BF21" s="2">
        <f t="shared" si="16"/>
        <v>1.6599611544778368E-2</v>
      </c>
      <c r="BG21" s="2">
        <f t="shared" si="16"/>
        <v>1.6713119375168169E-2</v>
      </c>
      <c r="BH21" s="2">
        <f t="shared" si="16"/>
        <v>1.6879956166172608E-2</v>
      </c>
      <c r="BI21" s="2">
        <f t="shared" si="16"/>
        <v>1.6996745824459647E-2</v>
      </c>
      <c r="BJ21" s="2">
        <f t="shared" si="16"/>
        <v>1.4574227509303712E-2</v>
      </c>
      <c r="BK21" s="2">
        <f t="shared" si="16"/>
        <v>6.3575393916837891E-2</v>
      </c>
      <c r="BL21" s="2">
        <f t="shared" si="16"/>
        <v>6.3326694115536653E-2</v>
      </c>
      <c r="BM21" s="2">
        <f t="shared" si="16"/>
        <v>6.2645191758884444E-2</v>
      </c>
      <c r="BN21" s="2">
        <f t="shared" si="16"/>
        <v>6.3018347291037016E-2</v>
      </c>
      <c r="BO21" s="2">
        <f t="shared" si="16"/>
        <v>6.271876695759232E-2</v>
      </c>
      <c r="BP21" s="2">
        <f t="shared" si="16"/>
        <v>6.3556071812457912E-2</v>
      </c>
      <c r="BQ21" s="2">
        <f t="shared" si="16"/>
        <v>6.3134987230176104E-2</v>
      </c>
      <c r="BR21" s="2">
        <f t="shared" si="16"/>
        <v>5.6563550928961377E-2</v>
      </c>
      <c r="BS21" s="2">
        <f t="shared" si="16"/>
        <v>4.3583789201173874E-2</v>
      </c>
      <c r="BT21" s="2">
        <f t="shared" si="16"/>
        <v>4.4083973240253781E-2</v>
      </c>
      <c r="BU21" s="2">
        <f t="shared" si="16"/>
        <v>4.4606880145843859E-2</v>
      </c>
      <c r="BV21" s="2">
        <f t="shared" si="16"/>
        <v>4.376368922676134E-2</v>
      </c>
      <c r="BW21" s="2">
        <f t="shared" si="16"/>
        <v>4.3903607357787679E-2</v>
      </c>
      <c r="BX21" s="2">
        <f t="shared" ref="BX21:CP23" si="17">BX15/BX3</f>
        <v>4.3578867842417886E-2</v>
      </c>
      <c r="BY21" s="2">
        <f t="shared" si="17"/>
        <v>4.2383327966652527E-2</v>
      </c>
      <c r="BZ21" s="2">
        <f t="shared" si="17"/>
        <v>3.8722572552403516E-2</v>
      </c>
      <c r="CA21" s="2">
        <f t="shared" si="17"/>
        <v>2.4246763856160428E-2</v>
      </c>
      <c r="CB21" s="2">
        <f t="shared" si="17"/>
        <v>2.5632974183712538E-2</v>
      </c>
      <c r="CC21" s="2">
        <f t="shared" si="17"/>
        <v>2.4583324230244296E-2</v>
      </c>
      <c r="CD21" s="2">
        <f t="shared" si="17"/>
        <v>2.3880578405357816E-2</v>
      </c>
      <c r="CE21" s="2">
        <f t="shared" si="17"/>
        <v>2.3504382214286038E-2</v>
      </c>
      <c r="CF21" s="2">
        <f t="shared" si="17"/>
        <v>2.3062341793389046E-2</v>
      </c>
      <c r="CG21" s="2">
        <f t="shared" si="17"/>
        <v>2.1937946101619137E-2</v>
      </c>
      <c r="CH21" s="2">
        <f t="shared" si="17"/>
        <v>1.7411503366359993E-2</v>
      </c>
      <c r="CI21" s="2">
        <f t="shared" si="17"/>
        <v>1.9185533839471851E-2</v>
      </c>
      <c r="CJ21" s="2">
        <f t="shared" si="17"/>
        <v>1.9913841577674538E-2</v>
      </c>
      <c r="CK21" s="2">
        <f t="shared" si="17"/>
        <v>2.0363619946819372E-2</v>
      </c>
      <c r="CL21" s="2">
        <f t="shared" si="17"/>
        <v>1.9995772685718467E-2</v>
      </c>
      <c r="CM21" s="2">
        <f t="shared" si="17"/>
        <v>1.9565798203217646E-2</v>
      </c>
      <c r="CN21" s="2">
        <f t="shared" si="17"/>
        <v>1.9076369826460642E-2</v>
      </c>
      <c r="CO21" s="2">
        <f t="shared" si="17"/>
        <v>1.6984862891848841E-2</v>
      </c>
      <c r="CP21" s="2">
        <f t="shared" si="17"/>
        <v>1.4473105175421736E-2</v>
      </c>
    </row>
    <row r="22" spans="2:94" x14ac:dyDescent="0.25">
      <c r="C22" s="2">
        <f t="shared" ref="C22:R25" si="18">C16/C4</f>
        <v>0</v>
      </c>
      <c r="D22" s="2">
        <f t="shared" si="18"/>
        <v>0</v>
      </c>
      <c r="E22" s="2">
        <f t="shared" si="18"/>
        <v>0</v>
      </c>
      <c r="F22" s="2">
        <f t="shared" si="18"/>
        <v>0</v>
      </c>
      <c r="G22" s="2">
        <f t="shared" si="18"/>
        <v>0</v>
      </c>
      <c r="H22" s="2">
        <f t="shared" si="18"/>
        <v>0</v>
      </c>
      <c r="I22" s="2">
        <f t="shared" si="18"/>
        <v>0</v>
      </c>
      <c r="J22" s="2">
        <f t="shared" si="18"/>
        <v>0</v>
      </c>
      <c r="K22" s="2">
        <f t="shared" si="18"/>
        <v>0</v>
      </c>
      <c r="L22" s="2">
        <f t="shared" si="18"/>
        <v>0</v>
      </c>
      <c r="M22" s="2">
        <f t="shared" si="18"/>
        <v>0</v>
      </c>
      <c r="N22" s="2">
        <f t="shared" si="18"/>
        <v>0</v>
      </c>
      <c r="O22" s="2">
        <f t="shared" si="18"/>
        <v>2.5668688784528122E-3</v>
      </c>
      <c r="P22" s="2">
        <f t="shared" si="18"/>
        <v>2.4165749951790189E-3</v>
      </c>
      <c r="Q22" s="2">
        <f t="shared" si="18"/>
        <v>2.4247139891115615E-3</v>
      </c>
      <c r="R22" s="2">
        <f t="shared" si="18"/>
        <v>2.8852414648336765E-3</v>
      </c>
      <c r="S22" s="2">
        <f t="shared" si="15"/>
        <v>2.5747719384108746E-3</v>
      </c>
      <c r="T22" s="2">
        <f t="shared" si="15"/>
        <v>2.4297289207795476E-3</v>
      </c>
      <c r="U22" s="2">
        <f t="shared" si="15"/>
        <v>2.3428154414800702E-3</v>
      </c>
      <c r="V22" s="2">
        <f t="shared" si="15"/>
        <v>1.4671305609065173E-3</v>
      </c>
      <c r="W22" s="2">
        <f t="shared" si="15"/>
        <v>4.0983307235393238E-3</v>
      </c>
      <c r="X22" s="2">
        <f t="shared" si="15"/>
        <v>3.8966469791495389E-3</v>
      </c>
      <c r="Y22" s="2">
        <f t="shared" si="15"/>
        <v>4.2348160918230819E-3</v>
      </c>
      <c r="Z22" s="2">
        <f t="shared" si="15"/>
        <v>3.7348503196208359E-3</v>
      </c>
      <c r="AA22" s="2">
        <f t="shared" si="15"/>
        <v>4.1086682909251774E-3</v>
      </c>
      <c r="AB22" s="2">
        <f t="shared" si="15"/>
        <v>3.5939927301312118E-3</v>
      </c>
      <c r="AC22" s="2">
        <f t="shared" si="15"/>
        <v>3.8377135954043694E-3</v>
      </c>
      <c r="AD22" s="2">
        <f t="shared" si="15"/>
        <v>3.6284259252187972E-3</v>
      </c>
      <c r="AE22" s="2">
        <f t="shared" si="15"/>
        <v>-5.5757458003773209E-3</v>
      </c>
      <c r="AF22" s="2">
        <f t="shared" si="15"/>
        <v>-5.1563489489815338E-3</v>
      </c>
      <c r="AG22" s="2">
        <f t="shared" si="15"/>
        <v>-4.7950019248540997E-3</v>
      </c>
      <c r="AH22" s="2">
        <f t="shared" si="15"/>
        <v>-5.525043166386496E-3</v>
      </c>
      <c r="AI22" s="2">
        <f t="shared" si="15"/>
        <v>-5.3563602151258946E-3</v>
      </c>
      <c r="AJ22" s="2">
        <f t="shared" si="15"/>
        <v>-5.3590379404640188E-3</v>
      </c>
      <c r="AK22" s="2">
        <f t="shared" si="15"/>
        <v>-5.2438202084469305E-3</v>
      </c>
      <c r="AL22" s="2">
        <f t="shared" si="15"/>
        <v>-3.5121126536897264E-3</v>
      </c>
      <c r="AM22" s="2">
        <f t="shared" si="15"/>
        <v>6.5366228922757938E-3</v>
      </c>
      <c r="AN22" s="2">
        <f t="shared" si="15"/>
        <v>6.057336581618865E-3</v>
      </c>
      <c r="AO22" s="2">
        <f t="shared" si="15"/>
        <v>6.2532367262494891E-3</v>
      </c>
      <c r="AP22" s="2">
        <f t="shared" si="15"/>
        <v>6.1784705861726089E-3</v>
      </c>
      <c r="AQ22" s="2">
        <f t="shared" si="15"/>
        <v>6.4594695682393347E-3</v>
      </c>
      <c r="AR22" s="2">
        <f t="shared" si="16"/>
        <v>6.4419548515529217E-3</v>
      </c>
      <c r="AS22" s="2">
        <f t="shared" si="16"/>
        <v>6.9213467379469328E-3</v>
      </c>
      <c r="AT22" s="2">
        <f t="shared" si="16"/>
        <v>8.7118360188104919E-3</v>
      </c>
      <c r="AU22" s="2">
        <f t="shared" si="16"/>
        <v>3.6747390062581071E-3</v>
      </c>
      <c r="AV22" s="2">
        <f t="shared" si="16"/>
        <v>3.4007888213951638E-3</v>
      </c>
      <c r="AW22" s="2">
        <f t="shared" si="16"/>
        <v>4.1299037742490372E-3</v>
      </c>
      <c r="AX22" s="2">
        <f t="shared" si="16"/>
        <v>4.0314093705244971E-3</v>
      </c>
      <c r="AY22" s="2">
        <f t="shared" si="16"/>
        <v>3.8341648247947084E-3</v>
      </c>
      <c r="AZ22" s="2">
        <f t="shared" si="16"/>
        <v>3.6503010631951612E-3</v>
      </c>
      <c r="BA22" s="2">
        <f t="shared" si="16"/>
        <v>3.4649403434633217E-3</v>
      </c>
      <c r="BB22" s="2">
        <f t="shared" si="16"/>
        <v>2.4449304615477997E-3</v>
      </c>
      <c r="BC22" s="2">
        <f t="shared" si="16"/>
        <v>6.6672177455116277E-3</v>
      </c>
      <c r="BD22" s="2">
        <f t="shared" si="16"/>
        <v>5.2457798364531323E-3</v>
      </c>
      <c r="BE22" s="2">
        <f t="shared" si="16"/>
        <v>5.6039407236171462E-3</v>
      </c>
      <c r="BF22" s="2">
        <f t="shared" si="16"/>
        <v>5.2792074612323537E-3</v>
      </c>
      <c r="BG22" s="2">
        <f t="shared" si="16"/>
        <v>5.5400524970533969E-3</v>
      </c>
      <c r="BH22" s="2">
        <f t="shared" si="16"/>
        <v>5.1630641527366655E-3</v>
      </c>
      <c r="BI22" s="2">
        <f t="shared" si="16"/>
        <v>5.2596501453882737E-3</v>
      </c>
      <c r="BJ22" s="2">
        <f t="shared" si="16"/>
        <v>4.135601559680022E-3</v>
      </c>
      <c r="BK22" s="2">
        <f t="shared" si="16"/>
        <v>1.6790085884637332E-2</v>
      </c>
      <c r="BL22" s="2">
        <f t="shared" si="16"/>
        <v>1.6252020559603682E-2</v>
      </c>
      <c r="BM22" s="2">
        <f t="shared" si="16"/>
        <v>1.5453795869254834E-2</v>
      </c>
      <c r="BN22" s="2">
        <f t="shared" si="16"/>
        <v>1.614131169200865E-2</v>
      </c>
      <c r="BO22" s="2">
        <f t="shared" si="16"/>
        <v>1.5808220583113791E-2</v>
      </c>
      <c r="BP22" s="2">
        <f t="shared" si="16"/>
        <v>1.6378575673575931E-2</v>
      </c>
      <c r="BQ22" s="2">
        <f t="shared" si="16"/>
        <v>1.6298392696336907E-2</v>
      </c>
      <c r="BR22" s="2">
        <f t="shared" si="16"/>
        <v>1.4231481774538077E-2</v>
      </c>
      <c r="BS22" s="2">
        <f t="shared" si="16"/>
        <v>2.3718460211027869E-2</v>
      </c>
      <c r="BT22" s="2">
        <f t="shared" si="16"/>
        <v>2.3225377453952065E-2</v>
      </c>
      <c r="BU22" s="2">
        <f t="shared" si="16"/>
        <v>2.4592373096643833E-2</v>
      </c>
      <c r="BV22" s="2">
        <f t="shared" si="16"/>
        <v>2.327182815764978E-2</v>
      </c>
      <c r="BW22" s="2">
        <f t="shared" si="16"/>
        <v>2.3359589245777322E-2</v>
      </c>
      <c r="BX22" s="2">
        <f t="shared" si="17"/>
        <v>2.3204618444075217E-2</v>
      </c>
      <c r="BY22" s="2">
        <f t="shared" si="17"/>
        <v>2.2087349656466602E-2</v>
      </c>
      <c r="BZ22" s="2">
        <f t="shared" si="17"/>
        <v>2.066307304710999E-2</v>
      </c>
      <c r="CA22" s="2">
        <f t="shared" si="17"/>
        <v>1.5040181075618969E-2</v>
      </c>
      <c r="CB22" s="2">
        <f t="shared" si="17"/>
        <v>1.1286705409424823E-2</v>
      </c>
      <c r="CC22" s="2">
        <f t="shared" si="17"/>
        <v>1.37796414909303E-2</v>
      </c>
      <c r="CD22" s="2">
        <f t="shared" si="17"/>
        <v>1.273050688382483E-2</v>
      </c>
      <c r="CE22" s="2">
        <f t="shared" si="17"/>
        <v>1.1443347987863981E-2</v>
      </c>
      <c r="CF22" s="2">
        <f t="shared" si="17"/>
        <v>1.0316187454744972E-2</v>
      </c>
      <c r="CG22" s="2">
        <f t="shared" si="17"/>
        <v>8.231308231321996E-3</v>
      </c>
      <c r="CH22" s="2">
        <f t="shared" si="17"/>
        <v>9.3219157120071668E-3</v>
      </c>
      <c r="CI22" s="2">
        <f t="shared" si="17"/>
        <v>1.2579849083396665E-2</v>
      </c>
      <c r="CJ22" s="2">
        <f t="shared" si="17"/>
        <v>1.2302184952562665E-2</v>
      </c>
      <c r="CK22" s="2">
        <f t="shared" si="17"/>
        <v>1.3272282127067761E-2</v>
      </c>
      <c r="CL22" s="2">
        <f t="shared" si="17"/>
        <v>1.281710560797516E-2</v>
      </c>
      <c r="CM22" s="2">
        <f t="shared" si="17"/>
        <v>1.2234508132826781E-2</v>
      </c>
      <c r="CN22" s="2">
        <f t="shared" si="17"/>
        <v>1.0510839531486771E-2</v>
      </c>
      <c r="CO22" s="2">
        <f t="shared" si="17"/>
        <v>9.6468552506211776E-3</v>
      </c>
      <c r="CP22" s="2">
        <f t="shared" si="17"/>
        <v>6.6386205839993988E-3</v>
      </c>
    </row>
    <row r="23" spans="2:94" x14ac:dyDescent="0.25">
      <c r="C23" s="2">
        <f t="shared" si="18"/>
        <v>0</v>
      </c>
      <c r="D23" s="2">
        <f t="shared" ref="D23:AQ25" si="19">D17/D5</f>
        <v>0</v>
      </c>
      <c r="E23" s="2">
        <f t="shared" si="19"/>
        <v>0</v>
      </c>
      <c r="F23" s="2">
        <f t="shared" si="19"/>
        <v>0</v>
      </c>
      <c r="G23" s="2">
        <f t="shared" si="19"/>
        <v>0</v>
      </c>
      <c r="H23" s="2">
        <f t="shared" si="19"/>
        <v>0</v>
      </c>
      <c r="I23" s="2">
        <f t="shared" si="19"/>
        <v>0</v>
      </c>
      <c r="J23" s="2">
        <f t="shared" si="19"/>
        <v>0</v>
      </c>
      <c r="K23" s="2">
        <f t="shared" si="19"/>
        <v>0</v>
      </c>
      <c r="L23" s="2">
        <f t="shared" si="19"/>
        <v>0</v>
      </c>
      <c r="M23" s="2">
        <f t="shared" si="19"/>
        <v>0</v>
      </c>
      <c r="N23" s="2">
        <f t="shared" si="19"/>
        <v>0</v>
      </c>
      <c r="O23" s="2">
        <f t="shared" si="19"/>
        <v>3.5231102670370646E-3</v>
      </c>
      <c r="P23" s="2">
        <f t="shared" si="19"/>
        <v>3.6631822456496795E-3</v>
      </c>
      <c r="Q23" s="2">
        <f t="shared" si="19"/>
        <v>3.4696692460870161E-3</v>
      </c>
      <c r="R23" s="2">
        <f t="shared" si="19"/>
        <v>3.7820888550000407E-3</v>
      </c>
      <c r="S23" s="2">
        <f t="shared" si="19"/>
        <v>3.6050909246491459E-3</v>
      </c>
      <c r="T23" s="2">
        <f t="shared" si="19"/>
        <v>3.553124348106573E-3</v>
      </c>
      <c r="U23" s="2">
        <f t="shared" si="19"/>
        <v>3.3916026295573855E-3</v>
      </c>
      <c r="V23" s="2">
        <f t="shared" si="19"/>
        <v>2.6141858988943415E-3</v>
      </c>
      <c r="W23" s="2">
        <f t="shared" si="19"/>
        <v>1.4080940238302552E-3</v>
      </c>
      <c r="X23" s="2">
        <f t="shared" si="19"/>
        <v>1.7624595106558647E-3</v>
      </c>
      <c r="Y23" s="2">
        <f t="shared" si="19"/>
        <v>1.7640852516422705E-3</v>
      </c>
      <c r="Z23" s="2">
        <f t="shared" si="19"/>
        <v>1.2180714281621343E-3</v>
      </c>
      <c r="AA23" s="2">
        <f t="shared" si="19"/>
        <v>1.5449453149390191E-3</v>
      </c>
      <c r="AB23" s="2">
        <f t="shared" si="19"/>
        <v>1.4704014087877741E-3</v>
      </c>
      <c r="AC23" s="2">
        <f t="shared" si="19"/>
        <v>1.8154891825487396E-3</v>
      </c>
      <c r="AD23" s="2">
        <f t="shared" si="19"/>
        <v>2.1182589944149628E-4</v>
      </c>
      <c r="AE23" s="2">
        <f t="shared" si="19"/>
        <v>4.0970185566873455E-3</v>
      </c>
      <c r="AF23" s="2">
        <f t="shared" si="19"/>
        <v>4.4795687598962108E-3</v>
      </c>
      <c r="AG23" s="2">
        <f t="shared" si="19"/>
        <v>4.6447481261231863E-3</v>
      </c>
      <c r="AH23" s="2">
        <f t="shared" si="19"/>
        <v>3.9014933017682794E-3</v>
      </c>
      <c r="AI23" s="2">
        <f t="shared" si="19"/>
        <v>4.2730735286808574E-3</v>
      </c>
      <c r="AJ23" s="2">
        <f t="shared" si="19"/>
        <v>4.1994794502426391E-3</v>
      </c>
      <c r="AK23" s="2">
        <f t="shared" si="19"/>
        <v>4.3375501949874428E-3</v>
      </c>
      <c r="AL23" s="2">
        <f t="shared" si="19"/>
        <v>4.6783416555837339E-3</v>
      </c>
      <c r="AM23" s="2">
        <f t="shared" si="19"/>
        <v>-5.1054410762981894E-4</v>
      </c>
      <c r="AN23" s="2">
        <f t="shared" si="19"/>
        <v>4.7069844938726651E-5</v>
      </c>
      <c r="AO23" s="2">
        <f t="shared" si="19"/>
        <v>-5.050346325664706E-5</v>
      </c>
      <c r="AP23" s="2">
        <f t="shared" si="19"/>
        <v>-4.1211772771844175E-4</v>
      </c>
      <c r="AQ23" s="2">
        <f t="shared" si="19"/>
        <v>-2.4392499886018981E-4</v>
      </c>
      <c r="AR23" s="2">
        <f t="shared" si="16"/>
        <v>-1.6229897549415714E-4</v>
      </c>
      <c r="AS23" s="2">
        <f t="shared" si="16"/>
        <v>-2.0414904463108663E-4</v>
      </c>
      <c r="AT23" s="2">
        <f t="shared" si="16"/>
        <v>-8.0117384295295307E-4</v>
      </c>
      <c r="AU23" s="2">
        <f t="shared" si="16"/>
        <v>1.15415552129031E-3</v>
      </c>
      <c r="AV23" s="2">
        <f t="shared" si="16"/>
        <v>1.2421631816040052E-3</v>
      </c>
      <c r="AW23" s="2">
        <f t="shared" si="16"/>
        <v>1.4831124267369175E-3</v>
      </c>
      <c r="AX23" s="2">
        <f t="shared" si="16"/>
        <v>1.2810788435843818E-3</v>
      </c>
      <c r="AY23" s="2">
        <f t="shared" si="16"/>
        <v>1.3038915900105777E-3</v>
      </c>
      <c r="AZ23" s="2">
        <f t="shared" si="16"/>
        <v>1.5086983019732695E-3</v>
      </c>
      <c r="BA23" s="2">
        <f t="shared" si="16"/>
        <v>1.4668950250219465E-3</v>
      </c>
      <c r="BB23" s="2">
        <f t="shared" si="16"/>
        <v>1.1785853208171662E-3</v>
      </c>
      <c r="BC23" s="2">
        <f t="shared" si="16"/>
        <v>2.0595556412487598E-4</v>
      </c>
      <c r="BD23" s="2">
        <f t="shared" si="16"/>
        <v>1.1648708071867092E-4</v>
      </c>
      <c r="BE23" s="2">
        <f t="shared" si="16"/>
        <v>2.9080346387288651E-4</v>
      </c>
      <c r="BF23" s="2">
        <f t="shared" si="16"/>
        <v>1.8888658230489162E-4</v>
      </c>
      <c r="BG23" s="2">
        <f t="shared" si="16"/>
        <v>2.9442856498570753E-4</v>
      </c>
      <c r="BH23" s="2">
        <f t="shared" si="16"/>
        <v>-5.1267615555206906E-5</v>
      </c>
      <c r="BI23" s="2">
        <f t="shared" si="16"/>
        <v>-3.6795569149386743E-4</v>
      </c>
      <c r="BJ23" s="2">
        <f t="shared" si="16"/>
        <v>-1.309252915864111E-3</v>
      </c>
      <c r="BK23" s="2">
        <f t="shared" si="16"/>
        <v>2.0976045430816978E-2</v>
      </c>
      <c r="BL23" s="2">
        <f t="shared" si="16"/>
        <v>2.1596262208463661E-2</v>
      </c>
      <c r="BM23" s="2">
        <f t="shared" si="16"/>
        <v>2.0452417544951699E-2</v>
      </c>
      <c r="BN23" s="2">
        <f t="shared" si="16"/>
        <v>2.0779623878650136E-2</v>
      </c>
      <c r="BO23" s="2">
        <f t="shared" si="16"/>
        <v>2.0921564228170254E-2</v>
      </c>
      <c r="BP23" s="2">
        <f t="shared" si="16"/>
        <v>2.1434837648246656E-2</v>
      </c>
      <c r="BQ23" s="2">
        <f t="shared" si="16"/>
        <v>2.1149471386149692E-2</v>
      </c>
      <c r="BR23" s="2">
        <f t="shared" si="16"/>
        <v>1.8641177411228171E-2</v>
      </c>
      <c r="BS23" s="2">
        <f t="shared" si="16"/>
        <v>2.8431760262769435E-2</v>
      </c>
      <c r="BT23" s="2">
        <f t="shared" si="16"/>
        <v>2.890428771324563E-2</v>
      </c>
      <c r="BU23" s="2">
        <f t="shared" si="16"/>
        <v>2.9190818767892018E-2</v>
      </c>
      <c r="BV23" s="2">
        <f t="shared" si="16"/>
        <v>2.8212489988981883E-2</v>
      </c>
      <c r="BW23" s="2">
        <f t="shared" si="16"/>
        <v>2.8475709389947739E-2</v>
      </c>
      <c r="BX23" s="2">
        <f t="shared" si="17"/>
        <v>2.8308376607679687E-2</v>
      </c>
      <c r="BY23" s="2">
        <f t="shared" si="17"/>
        <v>2.740331889708034E-2</v>
      </c>
      <c r="BZ23" s="2">
        <f t="shared" si="17"/>
        <v>2.4605839247159245E-2</v>
      </c>
      <c r="CA23" s="2">
        <f t="shared" si="17"/>
        <v>1.9987174270392812E-2</v>
      </c>
      <c r="CB23" s="2">
        <f t="shared" si="17"/>
        <v>2.0415645193473341E-2</v>
      </c>
      <c r="CC23" s="2">
        <f t="shared" si="17"/>
        <v>1.9591827725878964E-2</v>
      </c>
      <c r="CD23" s="2">
        <f t="shared" si="17"/>
        <v>1.8965019274516146E-2</v>
      </c>
      <c r="CE23" s="2">
        <f t="shared" si="17"/>
        <v>1.8439261250297611E-2</v>
      </c>
      <c r="CF23" s="2">
        <f t="shared" si="17"/>
        <v>1.7544216914230835E-2</v>
      </c>
      <c r="CG23" s="2">
        <f t="shared" si="17"/>
        <v>1.581665329606682E-2</v>
      </c>
      <c r="CH23" s="2">
        <f t="shared" si="17"/>
        <v>1.1349396199704114E-2</v>
      </c>
      <c r="CI23" s="2">
        <f t="shared" si="17"/>
        <v>1.7063554580018965E-2</v>
      </c>
      <c r="CJ23" s="2">
        <f t="shared" si="17"/>
        <v>1.7193058944122416E-2</v>
      </c>
      <c r="CK23" s="2">
        <f t="shared" si="17"/>
        <v>1.7746106038636165E-2</v>
      </c>
      <c r="CL23" s="2">
        <f t="shared" si="17"/>
        <v>1.7401195114600074E-2</v>
      </c>
      <c r="CM23" s="2">
        <f t="shared" si="17"/>
        <v>1.6838601072189562E-2</v>
      </c>
      <c r="CN23" s="2">
        <f t="shared" si="17"/>
        <v>1.5765643565210589E-2</v>
      </c>
      <c r="CO23" s="2">
        <f t="shared" si="17"/>
        <v>1.4284715946785799E-2</v>
      </c>
      <c r="CP23" s="2">
        <f t="shared" si="17"/>
        <v>1.1379789026426442E-2</v>
      </c>
    </row>
    <row r="24" spans="2:94" x14ac:dyDescent="0.25">
      <c r="C24" s="2">
        <f t="shared" si="18"/>
        <v>0</v>
      </c>
      <c r="D24" s="2">
        <f t="shared" si="19"/>
        <v>0</v>
      </c>
      <c r="E24" s="2">
        <f t="shared" si="19"/>
        <v>0</v>
      </c>
      <c r="F24" s="2">
        <f t="shared" si="19"/>
        <v>0</v>
      </c>
      <c r="G24" s="2">
        <f t="shared" si="19"/>
        <v>0</v>
      </c>
      <c r="H24" s="2">
        <f t="shared" si="19"/>
        <v>0</v>
      </c>
      <c r="I24" s="2">
        <f t="shared" si="19"/>
        <v>0</v>
      </c>
      <c r="J24" s="2">
        <f t="shared" si="19"/>
        <v>0</v>
      </c>
      <c r="K24" s="2">
        <f t="shared" si="19"/>
        <v>0</v>
      </c>
      <c r="L24" s="2">
        <f t="shared" si="19"/>
        <v>0</v>
      </c>
      <c r="M24" s="2">
        <f t="shared" si="19"/>
        <v>0</v>
      </c>
      <c r="N24" s="2">
        <f t="shared" si="19"/>
        <v>0</v>
      </c>
      <c r="O24" s="2">
        <f t="shared" si="19"/>
        <v>-4.6231461768927807E-3</v>
      </c>
      <c r="P24" s="2">
        <f t="shared" si="19"/>
        <v>-4.4683928583930631E-3</v>
      </c>
      <c r="Q24" s="2">
        <f t="shared" si="19"/>
        <v>-4.785062928149242E-3</v>
      </c>
      <c r="R24" s="2">
        <f t="shared" si="19"/>
        <v>-4.5488682405119456E-3</v>
      </c>
      <c r="S24" s="2">
        <f t="shared" si="19"/>
        <v>-4.6370175342570165E-3</v>
      </c>
      <c r="T24" s="2">
        <f t="shared" si="19"/>
        <v>-4.0544720603193302E-3</v>
      </c>
      <c r="U24" s="2">
        <f t="shared" si="19"/>
        <v>-3.6865041666257381E-3</v>
      </c>
      <c r="V24" s="2">
        <f t="shared" si="19"/>
        <v>-2.2538665649982225E-3</v>
      </c>
      <c r="W24" s="2">
        <f t="shared" si="19"/>
        <v>-3.8649964026375391E-3</v>
      </c>
      <c r="X24" s="2">
        <f t="shared" si="19"/>
        <v>-3.7046168271079915E-3</v>
      </c>
      <c r="Y24" s="2">
        <f t="shared" si="19"/>
        <v>-3.8064147275469456E-3</v>
      </c>
      <c r="Z24" s="2">
        <f t="shared" si="19"/>
        <v>-4.0469273663230809E-3</v>
      </c>
      <c r="AA24" s="2">
        <f t="shared" si="19"/>
        <v>-3.8600912423012216E-3</v>
      </c>
      <c r="AB24" s="2">
        <f t="shared" si="19"/>
        <v>-3.6431861399386992E-3</v>
      </c>
      <c r="AC24" s="2">
        <f t="shared" si="19"/>
        <v>-3.2143920246679239E-3</v>
      </c>
      <c r="AD24" s="2">
        <f t="shared" si="19"/>
        <v>-3.8573111979447777E-3</v>
      </c>
      <c r="AE24" s="2">
        <f t="shared" si="19"/>
        <v>-2.6248533646802998E-3</v>
      </c>
      <c r="AF24" s="2">
        <f t="shared" si="19"/>
        <v>-2.3521881169075282E-3</v>
      </c>
      <c r="AG24" s="2">
        <f t="shared" si="19"/>
        <v>-2.3451074890303509E-3</v>
      </c>
      <c r="AH24" s="2">
        <f t="shared" si="19"/>
        <v>-2.7130208420090463E-3</v>
      </c>
      <c r="AI24" s="2">
        <f t="shared" si="19"/>
        <v>-2.0062085604689449E-3</v>
      </c>
      <c r="AJ24" s="2">
        <f t="shared" si="19"/>
        <v>-1.902578654712647E-3</v>
      </c>
      <c r="AK24" s="2">
        <f t="shared" si="19"/>
        <v>-2.054067451054365E-3</v>
      </c>
      <c r="AL24" s="2">
        <f t="shared" si="19"/>
        <v>-1.7386393820924774E-3</v>
      </c>
      <c r="AM24" s="2">
        <f t="shared" si="19"/>
        <v>-7.056146244984309E-3</v>
      </c>
      <c r="AN24" s="2">
        <f t="shared" si="19"/>
        <v>-6.9574300509630651E-3</v>
      </c>
      <c r="AO24" s="2">
        <f t="shared" si="19"/>
        <v>-6.7967841824279453E-3</v>
      </c>
      <c r="AP24" s="2">
        <f t="shared" si="19"/>
        <v>-7.1200952221449326E-3</v>
      </c>
      <c r="AQ24" s="2">
        <f t="shared" si="19"/>
        <v>-7.0585410906360991E-3</v>
      </c>
      <c r="AR24" s="2">
        <f t="shared" si="16"/>
        <v>-7.3327587498868176E-3</v>
      </c>
      <c r="AS24" s="2">
        <f t="shared" si="16"/>
        <v>-7.1869094374276063E-3</v>
      </c>
      <c r="AT24" s="2">
        <f t="shared" si="16"/>
        <v>-6.0629100225482371E-3</v>
      </c>
      <c r="AU24" s="2">
        <f t="shared" si="16"/>
        <v>-5.9154365155434437E-4</v>
      </c>
      <c r="AV24" s="2">
        <f t="shared" si="16"/>
        <v>3.1315878783669431E-5</v>
      </c>
      <c r="AW24" s="2">
        <f t="shared" si="16"/>
        <v>-1.9140269042658314E-4</v>
      </c>
      <c r="AX24" s="2">
        <f t="shared" si="16"/>
        <v>-3.4861180910258091E-4</v>
      </c>
      <c r="AY24" s="2">
        <f t="shared" si="16"/>
        <v>-1.5660264730849916E-4</v>
      </c>
      <c r="AZ24" s="2">
        <f t="shared" si="16"/>
        <v>6.3296481390802409E-5</v>
      </c>
      <c r="BA24" s="2">
        <f t="shared" si="16"/>
        <v>2.3953248321682802E-4</v>
      </c>
      <c r="BB24" s="2">
        <f t="shared" si="16"/>
        <v>7.7194110855594283E-4</v>
      </c>
      <c r="BC24" s="2">
        <f t="shared" si="16"/>
        <v>-1.3794682221710441E-2</v>
      </c>
      <c r="BD24" s="2">
        <f t="shared" si="16"/>
        <v>-1.4177545901290377E-2</v>
      </c>
      <c r="BE24" s="2">
        <f t="shared" si="16"/>
        <v>-1.3976756322377461E-2</v>
      </c>
      <c r="BF24" s="2">
        <f t="shared" si="16"/>
        <v>-1.3774552987417199E-2</v>
      </c>
      <c r="BG24" s="2">
        <f t="shared" si="16"/>
        <v>-1.3819789833955281E-2</v>
      </c>
      <c r="BH24" s="2">
        <f t="shared" si="16"/>
        <v>-1.4283998542987947E-2</v>
      </c>
      <c r="BI24" s="2">
        <f t="shared" si="16"/>
        <v>-1.4179151023629714E-2</v>
      </c>
      <c r="BJ24" s="2">
        <f t="shared" si="16"/>
        <v>-1.1033078455209669E-2</v>
      </c>
      <c r="BK24" s="2">
        <f t="shared" si="16"/>
        <v>-1.0926045022813654E-2</v>
      </c>
      <c r="BL24" s="2">
        <f t="shared" si="16"/>
        <v>-1.1195425483551763E-2</v>
      </c>
      <c r="BM24" s="2">
        <f t="shared" si="16"/>
        <v>-1.1227178914072412E-2</v>
      </c>
      <c r="BN24" s="2">
        <f t="shared" si="16"/>
        <v>-1.0765070851268923E-2</v>
      </c>
      <c r="BO24" s="2">
        <f t="shared" si="16"/>
        <v>-1.0734765944037973E-2</v>
      </c>
      <c r="BP24" s="2">
        <f t="shared" si="16"/>
        <v>-1.0295610575911726E-2</v>
      </c>
      <c r="BQ24" s="2">
        <f t="shared" si="16"/>
        <v>-1.0156979408626502E-2</v>
      </c>
      <c r="BR24" s="2">
        <f t="shared" si="16"/>
        <v>-9.426287844089146E-3</v>
      </c>
      <c r="BS24" s="2">
        <f t="shared" si="16"/>
        <v>-4.2308879775460944E-3</v>
      </c>
      <c r="BT24" s="2">
        <f t="shared" si="16"/>
        <v>-3.8541092117747064E-3</v>
      </c>
      <c r="BU24" s="2">
        <f t="shared" si="16"/>
        <v>-3.982209246315099E-3</v>
      </c>
      <c r="BV24" s="2">
        <f t="shared" si="16"/>
        <v>-4.4354273392976495E-3</v>
      </c>
      <c r="BW24" s="2">
        <f t="shared" ref="BW24:CP25" si="20">BW18/BW6</f>
        <v>-4.7551568913294035E-3</v>
      </c>
      <c r="BX24" s="2">
        <f t="shared" si="20"/>
        <v>-4.5704591815981721E-3</v>
      </c>
      <c r="BY24" s="2">
        <f t="shared" si="20"/>
        <v>-5.0023925724870522E-3</v>
      </c>
      <c r="BZ24" s="2">
        <f t="shared" si="20"/>
        <v>-4.2276318263605043E-3</v>
      </c>
      <c r="CA24" s="2">
        <f t="shared" si="20"/>
        <v>-6.8122907035117041E-3</v>
      </c>
      <c r="CB24" s="2">
        <f t="shared" si="20"/>
        <v>-6.9913280061538862E-3</v>
      </c>
      <c r="CC24" s="2">
        <f t="shared" si="20"/>
        <v>-7.6349807537099612E-3</v>
      </c>
      <c r="CD24" s="2">
        <f t="shared" si="20"/>
        <v>-7.8507991641990054E-3</v>
      </c>
      <c r="CE24" s="2">
        <f t="shared" si="20"/>
        <v>-7.4786124405533437E-3</v>
      </c>
      <c r="CF24" s="2">
        <f t="shared" si="20"/>
        <v>-7.1801652347916276E-3</v>
      </c>
      <c r="CG24" s="2">
        <f t="shared" si="20"/>
        <v>-6.7829629028866778E-3</v>
      </c>
      <c r="CH24" s="2">
        <f t="shared" si="20"/>
        <v>-3.6071844046775443E-3</v>
      </c>
      <c r="CI24" s="2">
        <f t="shared" si="20"/>
        <v>-9.6275869813351646E-3</v>
      </c>
      <c r="CJ24" s="2">
        <f t="shared" si="20"/>
        <v>-9.6957503574787857E-3</v>
      </c>
      <c r="CK24" s="2">
        <f t="shared" si="20"/>
        <v>-9.1200917464968109E-3</v>
      </c>
      <c r="CL24" s="2">
        <f t="shared" si="20"/>
        <v>-9.2179370869935554E-3</v>
      </c>
      <c r="CM24" s="2">
        <f t="shared" si="20"/>
        <v>-9.6447056059249664E-3</v>
      </c>
      <c r="CN24" s="2">
        <f t="shared" si="20"/>
        <v>-9.6187441139999851E-3</v>
      </c>
      <c r="CO24" s="2">
        <f t="shared" si="20"/>
        <v>-9.4188272315523479E-3</v>
      </c>
      <c r="CP24" s="2">
        <f t="shared" si="20"/>
        <v>-7.8005070530163751E-3</v>
      </c>
    </row>
    <row r="25" spans="2:94" x14ac:dyDescent="0.25">
      <c r="C25" s="2">
        <f t="shared" si="18"/>
        <v>0</v>
      </c>
      <c r="D25" s="2">
        <f t="shared" si="19"/>
        <v>0</v>
      </c>
      <c r="E25" s="2">
        <f t="shared" si="19"/>
        <v>0</v>
      </c>
      <c r="F25" s="2">
        <f t="shared" si="19"/>
        <v>0</v>
      </c>
      <c r="G25" s="2">
        <f t="shared" si="19"/>
        <v>0</v>
      </c>
      <c r="H25" s="2">
        <f t="shared" si="19"/>
        <v>0</v>
      </c>
      <c r="I25" s="2">
        <f t="shared" si="19"/>
        <v>0</v>
      </c>
      <c r="J25" s="2">
        <f t="shared" si="19"/>
        <v>0</v>
      </c>
      <c r="K25" s="2">
        <f t="shared" si="19"/>
        <v>0</v>
      </c>
      <c r="L25" s="2">
        <f t="shared" si="19"/>
        <v>0</v>
      </c>
      <c r="M25" s="2">
        <f t="shared" si="19"/>
        <v>0</v>
      </c>
      <c r="N25" s="2">
        <f t="shared" si="19"/>
        <v>0</v>
      </c>
      <c r="O25" s="2">
        <f t="shared" si="19"/>
        <v>3.7429347836669424E-3</v>
      </c>
      <c r="P25" s="2">
        <f t="shared" si="19"/>
        <v>4.0177831891372905E-3</v>
      </c>
      <c r="Q25" s="2">
        <f t="shared" si="19"/>
        <v>3.657117914803657E-3</v>
      </c>
      <c r="R25" s="2">
        <f t="shared" si="19"/>
        <v>3.9738779202196893E-3</v>
      </c>
      <c r="S25" s="2">
        <f t="shared" si="19"/>
        <v>3.6925566398622487E-3</v>
      </c>
      <c r="T25" s="2">
        <f t="shared" si="19"/>
        <v>3.6599818901018638E-3</v>
      </c>
      <c r="U25" s="2">
        <f t="shared" si="19"/>
        <v>3.1263202170128397E-3</v>
      </c>
      <c r="V25" s="2">
        <f t="shared" si="19"/>
        <v>2.7141087078526903E-3</v>
      </c>
      <c r="W25" s="2">
        <f t="shared" si="19"/>
        <v>5.8900007049739172E-3</v>
      </c>
      <c r="X25" s="2">
        <f t="shared" si="19"/>
        <v>5.7475146767302903E-3</v>
      </c>
      <c r="Y25" s="2">
        <f t="shared" si="19"/>
        <v>5.8161708896943805E-3</v>
      </c>
      <c r="Z25" s="2">
        <f t="shared" si="19"/>
        <v>5.6695896650398713E-3</v>
      </c>
      <c r="AA25" s="2">
        <f t="shared" si="19"/>
        <v>5.8145929910328343E-3</v>
      </c>
      <c r="AB25" s="2">
        <f t="shared" si="19"/>
        <v>5.6508543373446889E-3</v>
      </c>
      <c r="AC25" s="2">
        <f t="shared" si="19"/>
        <v>5.7781601753515519E-3</v>
      </c>
      <c r="AD25" s="2">
        <f t="shared" si="19"/>
        <v>5.6421529642755189E-3</v>
      </c>
      <c r="AE25" s="2">
        <f t="shared" si="19"/>
        <v>-1.9059147210994029E-3</v>
      </c>
      <c r="AF25" s="2">
        <f t="shared" si="19"/>
        <v>-1.5387361230009948E-3</v>
      </c>
      <c r="AG25" s="2">
        <f t="shared" si="19"/>
        <v>-9.7217553964768378E-4</v>
      </c>
      <c r="AH25" s="2">
        <f t="shared" si="19"/>
        <v>-1.8494647116662571E-3</v>
      </c>
      <c r="AI25" s="2">
        <f t="shared" si="19"/>
        <v>-1.2295863609728429E-3</v>
      </c>
      <c r="AJ25" s="2">
        <f t="shared" si="19"/>
        <v>-1.0489466599199655E-3</v>
      </c>
      <c r="AK25" s="2">
        <f t="shared" si="19"/>
        <v>-9.209882192775735E-4</v>
      </c>
      <c r="AL25" s="2">
        <f t="shared" si="19"/>
        <v>-2.2058093524316444E-4</v>
      </c>
      <c r="AM25" s="2">
        <f t="shared" si="19"/>
        <v>5.7952223023895397E-3</v>
      </c>
      <c r="AN25" s="2">
        <f t="shared" si="19"/>
        <v>5.7680488380046037E-3</v>
      </c>
      <c r="AO25" s="2">
        <f t="shared" si="19"/>
        <v>5.7449717947116964E-3</v>
      </c>
      <c r="AP25" s="2">
        <f t="shared" si="19"/>
        <v>5.5118815542927763E-3</v>
      </c>
      <c r="AQ25" s="2">
        <f t="shared" si="19"/>
        <v>5.9284650785347759E-3</v>
      </c>
      <c r="AR25" s="2">
        <f t="shared" ref="AR25:BW25" si="21">AR19/AR7</f>
        <v>6.1571407617520332E-3</v>
      </c>
      <c r="AS25" s="2">
        <f t="shared" si="21"/>
        <v>6.3884433299776985E-3</v>
      </c>
      <c r="AT25" s="2">
        <f t="shared" si="21"/>
        <v>7.780618399726158E-3</v>
      </c>
      <c r="AU25" s="2">
        <f t="shared" si="21"/>
        <v>-3.4377893104014427E-6</v>
      </c>
      <c r="AV25" s="2">
        <f t="shared" si="21"/>
        <v>5.6678605554378106E-4</v>
      </c>
      <c r="AW25" s="2">
        <f t="shared" si="21"/>
        <v>5.9724374110973328E-4</v>
      </c>
      <c r="AX25" s="2">
        <f t="shared" si="21"/>
        <v>1.2785240602849939E-4</v>
      </c>
      <c r="AY25" s="2">
        <f t="shared" si="21"/>
        <v>4.0245694072779946E-4</v>
      </c>
      <c r="AZ25" s="2">
        <f t="shared" si="21"/>
        <v>2.7138727512670191E-4</v>
      </c>
      <c r="BA25" s="2">
        <f t="shared" si="21"/>
        <v>2.7026343887408147E-4</v>
      </c>
      <c r="BB25" s="2">
        <f t="shared" si="21"/>
        <v>4.4578533935931563E-4</v>
      </c>
      <c r="BC25" s="2">
        <f t="shared" si="21"/>
        <v>3.2133948254961017E-3</v>
      </c>
      <c r="BD25" s="2">
        <f t="shared" si="21"/>
        <v>3.0981394771304508E-3</v>
      </c>
      <c r="BE25" s="2">
        <f t="shared" si="21"/>
        <v>2.7392708786648716E-3</v>
      </c>
      <c r="BF25" s="2">
        <f t="shared" si="21"/>
        <v>2.8755133515295755E-3</v>
      </c>
      <c r="BG25" s="2">
        <f t="shared" si="21"/>
        <v>3.0384626454528925E-3</v>
      </c>
      <c r="BH25" s="2">
        <f t="shared" si="21"/>
        <v>2.9818715911072899E-3</v>
      </c>
      <c r="BI25" s="2">
        <f t="shared" si="21"/>
        <v>2.8056470355192608E-3</v>
      </c>
      <c r="BJ25" s="2">
        <f t="shared" si="21"/>
        <v>2.3131790328282851E-3</v>
      </c>
      <c r="BK25" s="2">
        <f t="shared" si="21"/>
        <v>2.0544435499502897E-2</v>
      </c>
      <c r="BL25" s="2">
        <f t="shared" si="21"/>
        <v>2.1155481968586631E-2</v>
      </c>
      <c r="BM25" s="2">
        <f t="shared" si="21"/>
        <v>2.0589882260746786E-2</v>
      </c>
      <c r="BN25" s="2">
        <f t="shared" si="21"/>
        <v>2.0794620897327209E-2</v>
      </c>
      <c r="BO25" s="2">
        <f t="shared" si="21"/>
        <v>2.0413720309675223E-2</v>
      </c>
      <c r="BP25" s="2">
        <f t="shared" si="21"/>
        <v>2.1070993733423506E-2</v>
      </c>
      <c r="BQ25" s="2">
        <f t="shared" si="21"/>
        <v>2.0786166022843475E-2</v>
      </c>
      <c r="BR25" s="2">
        <f t="shared" si="21"/>
        <v>1.8816301857415292E-2</v>
      </c>
      <c r="BS25" s="2">
        <f t="shared" si="21"/>
        <v>1.9207094297590408E-2</v>
      </c>
      <c r="BT25" s="2">
        <f t="shared" si="21"/>
        <v>1.908496361895894E-2</v>
      </c>
      <c r="BU25" s="2">
        <f t="shared" si="21"/>
        <v>1.9293976497989123E-2</v>
      </c>
      <c r="BV25" s="2">
        <f t="shared" si="21"/>
        <v>1.9008218927303467E-2</v>
      </c>
      <c r="BW25" s="2">
        <f t="shared" si="21"/>
        <v>1.8769417668033628E-2</v>
      </c>
      <c r="BX25" s="2">
        <f t="shared" si="20"/>
        <v>1.8408757813353049E-2</v>
      </c>
      <c r="BY25" s="2">
        <f t="shared" si="20"/>
        <v>1.714130307008856E-2</v>
      </c>
      <c r="BZ25" s="2">
        <f t="shared" si="20"/>
        <v>1.5981694227968649E-2</v>
      </c>
      <c r="CA25" s="2">
        <f t="shared" si="20"/>
        <v>1.0520915860010393E-2</v>
      </c>
      <c r="CB25" s="2">
        <f t="shared" si="20"/>
        <v>7.6178269814774751E-3</v>
      </c>
      <c r="CC25" s="2">
        <f t="shared" si="20"/>
        <v>7.9489302738217655E-3</v>
      </c>
      <c r="CD25" s="2">
        <f t="shared" si="20"/>
        <v>7.1577567811237563E-3</v>
      </c>
      <c r="CE25" s="2">
        <f t="shared" si="20"/>
        <v>6.3788522120539846E-3</v>
      </c>
      <c r="CF25" s="2">
        <f t="shared" si="20"/>
        <v>5.1360736278705747E-3</v>
      </c>
      <c r="CG25" s="2">
        <f t="shared" si="20"/>
        <v>3.9014916503442845E-3</v>
      </c>
      <c r="CH25" s="2">
        <f t="shared" si="20"/>
        <v>6.1826589334053068E-3</v>
      </c>
      <c r="CI25" s="2">
        <f t="shared" si="20"/>
        <v>3.6241219174102174E-3</v>
      </c>
      <c r="CJ25" s="2">
        <f t="shared" si="20"/>
        <v>3.2484456208557479E-3</v>
      </c>
      <c r="CK25" s="2">
        <f t="shared" si="20"/>
        <v>4.2183559830429656E-3</v>
      </c>
      <c r="CL25" s="2">
        <f t="shared" si="20"/>
        <v>3.8205818819735367E-3</v>
      </c>
      <c r="CM25" s="2">
        <f t="shared" si="20"/>
        <v>2.9103488450390206E-3</v>
      </c>
      <c r="CN25" s="2">
        <f t="shared" si="20"/>
        <v>2.1800349867097139E-3</v>
      </c>
      <c r="CO25" s="2">
        <f t="shared" si="20"/>
        <v>1.6256768840083146E-3</v>
      </c>
      <c r="CP25" s="2">
        <f t="shared" si="20"/>
        <v>7.9258283012145943E-4</v>
      </c>
    </row>
    <row r="26" spans="2:94" x14ac:dyDescent="0.25">
      <c r="H26" s="1"/>
    </row>
    <row r="27" spans="2:94" x14ac:dyDescent="0.25">
      <c r="B27" t="s">
        <v>187</v>
      </c>
      <c r="C27" s="2" cm="1">
        <f t="array" ref="C27">MAX(ABS(C21:CP25))</f>
        <v>6.3575393916837891E-2</v>
      </c>
      <c r="E27" t="s">
        <v>190</v>
      </c>
      <c r="F27" s="3" cm="1">
        <f t="array" ref="F27">SUMPRODUCT(ABS(O15:CP19))/C29</f>
        <v>3.8331265150617684</v>
      </c>
      <c r="H27" s="1"/>
    </row>
    <row r="28" spans="2:94" x14ac:dyDescent="0.25">
      <c r="B28" t="s">
        <v>188</v>
      </c>
      <c r="C28" s="5" cm="1">
        <f t="array" ref="C28">AVERAGE(ABS(O21:CP25))</f>
        <v>9.8867584464152995E-3</v>
      </c>
      <c r="E28" t="s">
        <v>191</v>
      </c>
      <c r="F28" s="3" cm="1">
        <f t="array" ref="F28">SUMPRODUCT((ABS(O15:CP19))^2)/C29</f>
        <v>35.50789903494676</v>
      </c>
      <c r="H28" s="1"/>
    </row>
    <row r="29" spans="2:94" x14ac:dyDescent="0.25">
      <c r="B29" t="s">
        <v>189</v>
      </c>
      <c r="C29">
        <f>COUNTA(O3:CP7)</f>
        <v>400</v>
      </c>
      <c r="H29" s="1"/>
    </row>
    <row r="30" spans="2:94" x14ac:dyDescent="0.25">
      <c r="H30" s="1"/>
    </row>
    <row r="32" spans="2:94" x14ac:dyDescent="0.25">
      <c r="C32" s="3"/>
    </row>
    <row r="33" spans="3:3" x14ac:dyDescent="0.25">
      <c r="C33" s="4"/>
    </row>
  </sheetData>
  <mergeCells count="2">
    <mergeCell ref="A3:A7"/>
    <mergeCell ref="A9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TESISTA</dc:creator>
  <cp:lastModifiedBy>TOMASZ KRZYSZTOF KWASNIOWSKI</cp:lastModifiedBy>
  <dcterms:created xsi:type="dcterms:W3CDTF">2015-06-05T18:19:34Z</dcterms:created>
  <dcterms:modified xsi:type="dcterms:W3CDTF">2026-07-19T16:26:29Z</dcterms:modified>
</cp:coreProperties>
</file>